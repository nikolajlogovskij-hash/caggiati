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1\Desktop\Бот\docs\"/>
    </mc:Choice>
  </mc:AlternateContent>
  <xr:revisionPtr revIDLastSave="0" documentId="13_ncr:1_{60EBE254-F887-4559-9F1A-E590DEACD8D6}" xr6:coauthVersionLast="37" xr6:coauthVersionMax="47" xr10:uidLastSave="{00000000-0000-0000-0000-000000000000}"/>
  <bookViews>
    <workbookView xWindow="0" yWindow="0" windowWidth="28800" windowHeight="12090" tabRatio="500" firstSheet="1" activeTab="1" xr2:uid="{00000000-000D-0000-FFFF-FFFF00000000}"/>
  </bookViews>
  <sheets>
    <sheet name="результат" sheetId="4" state="hidden" r:id="rId1"/>
    <sheet name="Сirilico Romano" sheetId="2" r:id="rId2"/>
    <sheet name="цифры 4 5 см" sheetId="5" state="hidden" r:id="rId3"/>
    <sheet name="расчет" sheetId="3" state="hidden" r:id="rId4"/>
    <sheet name="расчет - цифры 4 5 см" sheetId="6" state="hidden" r:id="rId5"/>
  </sheets>
  <definedNames>
    <definedName name="_xlnm._FilterDatabase" localSheetId="3" hidden="1">расчет!$A$4:$C$4</definedName>
    <definedName name="anscount" hidden="1">2</definedName>
    <definedName name="limcount" hidden="1">2</definedName>
    <definedName name="sencount" hidden="1">4</definedName>
  </definedNames>
  <calcPr calcId="179021"/>
</workbook>
</file>

<file path=xl/calcChain.xml><?xml version="1.0" encoding="utf-8"?>
<calcChain xmlns="http://schemas.openxmlformats.org/spreadsheetml/2006/main">
  <c r="E3" i="2" l="1"/>
  <c r="O3" i="2"/>
  <c r="J3" i="2"/>
  <c r="H31" i="2"/>
  <c r="C4" i="2"/>
  <c r="M14" i="2" l="1"/>
  <c r="M9" i="2"/>
  <c r="M4" i="2"/>
  <c r="M5" i="2"/>
  <c r="M6" i="2"/>
  <c r="M7" i="2"/>
  <c r="H13" i="2"/>
  <c r="C33" i="2"/>
  <c r="C29" i="2"/>
  <c r="C28" i="2"/>
  <c r="C26" i="2"/>
  <c r="C23" i="2"/>
  <c r="C19" i="2"/>
  <c r="C6" i="2"/>
  <c r="C11" i="2"/>
  <c r="C14" i="2"/>
  <c r="C15" i="2"/>
  <c r="C18" i="2"/>
  <c r="C13" i="2"/>
  <c r="M17" i="2" l="1"/>
  <c r="M18" i="2"/>
  <c r="I37" i="2"/>
  <c r="D37" i="2"/>
  <c r="C37" i="2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 a="1"/>
  <c r="J4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 a="1"/>
  <c r="I4" i="6"/>
  <c r="C4" i="6"/>
  <c r="I2" i="6"/>
  <c r="A2" i="6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9" i="3"/>
  <c r="C8" i="3"/>
  <c r="G7" i="3"/>
  <c r="C7" i="3"/>
  <c r="G6" i="3"/>
  <c r="C6" i="3"/>
  <c r="J5" i="3"/>
  <c r="G5" i="3"/>
  <c r="C5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 a="1"/>
  <c r="M4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 a="1"/>
  <c r="L4" i="3"/>
  <c r="C4" i="3"/>
  <c r="A1" i="3"/>
  <c r="K15" i="5"/>
  <c r="C15" i="5"/>
  <c r="K14" i="5"/>
  <c r="C14" i="5"/>
  <c r="K13" i="5"/>
  <c r="C13" i="5"/>
  <c r="K12" i="5"/>
  <c r="C12" i="5"/>
  <c r="K11" i="5"/>
  <c r="C11" i="5"/>
  <c r="K10" i="5"/>
  <c r="C10" i="5"/>
  <c r="K9" i="5"/>
  <c r="C9" i="5"/>
  <c r="K8" i="5"/>
  <c r="C8" i="5"/>
  <c r="K7" i="5"/>
  <c r="C7" i="5"/>
  <c r="K6" i="5"/>
  <c r="C6" i="5"/>
  <c r="K5" i="5"/>
  <c r="C5" i="5"/>
  <c r="K4" i="5"/>
  <c r="C4" i="5"/>
  <c r="I36" i="2"/>
  <c r="D36" i="2"/>
  <c r="C36" i="2"/>
  <c r="I35" i="2"/>
  <c r="H35" i="2"/>
  <c r="D35" i="2"/>
  <c r="C35" i="2"/>
  <c r="I34" i="2"/>
  <c r="H34" i="2"/>
  <c r="D34" i="2"/>
  <c r="C34" i="2"/>
  <c r="I33" i="2"/>
  <c r="H33" i="2"/>
  <c r="D33" i="2"/>
  <c r="I32" i="2"/>
  <c r="H32" i="2"/>
  <c r="D32" i="2"/>
  <c r="C32" i="2"/>
  <c r="I31" i="2"/>
  <c r="D31" i="2"/>
  <c r="C31" i="2"/>
  <c r="I30" i="2"/>
  <c r="H30" i="2"/>
  <c r="D30" i="2"/>
  <c r="C30" i="2"/>
  <c r="I29" i="2"/>
  <c r="H29" i="2"/>
  <c r="D29" i="2"/>
  <c r="I28" i="2"/>
  <c r="H28" i="2"/>
  <c r="D28" i="2"/>
  <c r="I27" i="2"/>
  <c r="H27" i="2"/>
  <c r="D27" i="2"/>
  <c r="C27" i="2"/>
  <c r="I26" i="2"/>
  <c r="H26" i="2"/>
  <c r="D26" i="2"/>
  <c r="I25" i="2"/>
  <c r="H25" i="2"/>
  <c r="D25" i="2"/>
  <c r="C25" i="2"/>
  <c r="I24" i="2"/>
  <c r="H24" i="2"/>
  <c r="D24" i="2"/>
  <c r="C24" i="2"/>
  <c r="I23" i="2"/>
  <c r="H23" i="2"/>
  <c r="D23" i="2"/>
  <c r="I22" i="2"/>
  <c r="H22" i="2"/>
  <c r="D22" i="2"/>
  <c r="C22" i="2"/>
  <c r="I21" i="2"/>
  <c r="H21" i="2"/>
  <c r="D21" i="2"/>
  <c r="C21" i="2"/>
  <c r="I20" i="2"/>
  <c r="H20" i="2"/>
  <c r="D20" i="2"/>
  <c r="C20" i="2"/>
  <c r="I19" i="2"/>
  <c r="H19" i="2"/>
  <c r="D19" i="2"/>
  <c r="N18" i="2"/>
  <c r="I18" i="2"/>
  <c r="H18" i="2"/>
  <c r="D18" i="2"/>
  <c r="N17" i="2"/>
  <c r="I17" i="2"/>
  <c r="H17" i="2"/>
  <c r="D17" i="2"/>
  <c r="C17" i="2"/>
  <c r="N16" i="2"/>
  <c r="M16" i="2"/>
  <c r="I16" i="2"/>
  <c r="H16" i="2"/>
  <c r="D16" i="2"/>
  <c r="C16" i="2"/>
  <c r="N15" i="2"/>
  <c r="M15" i="2"/>
  <c r="I15" i="2"/>
  <c r="H15" i="2"/>
  <c r="D15" i="2"/>
  <c r="N14" i="2"/>
  <c r="I14" i="2"/>
  <c r="H14" i="2"/>
  <c r="D14" i="2"/>
  <c r="N13" i="2"/>
  <c r="M13" i="2"/>
  <c r="I13" i="2"/>
  <c r="D13" i="2"/>
  <c r="N12" i="2"/>
  <c r="M12" i="2"/>
  <c r="I12" i="2"/>
  <c r="H12" i="2"/>
  <c r="D12" i="2"/>
  <c r="C12" i="2"/>
  <c r="N11" i="2"/>
  <c r="M11" i="2"/>
  <c r="I11" i="2"/>
  <c r="H11" i="2"/>
  <c r="D11" i="2"/>
  <c r="M10" i="2"/>
  <c r="I10" i="2"/>
  <c r="H10" i="2"/>
  <c r="D10" i="2"/>
  <c r="C10" i="2"/>
  <c r="N9" i="2"/>
  <c r="I9" i="2"/>
  <c r="H9" i="2"/>
  <c r="D9" i="2"/>
  <c r="C9" i="2"/>
  <c r="N8" i="2"/>
  <c r="M8" i="2"/>
  <c r="I8" i="2"/>
  <c r="H8" i="2"/>
  <c r="D8" i="2"/>
  <c r="C8" i="2"/>
  <c r="N7" i="2"/>
  <c r="I7" i="2"/>
  <c r="H7" i="2"/>
  <c r="D7" i="2"/>
  <c r="C7" i="2"/>
  <c r="N6" i="2"/>
  <c r="I6" i="2"/>
  <c r="H6" i="2"/>
  <c r="D6" i="2"/>
  <c r="N5" i="2"/>
  <c r="I5" i="2"/>
  <c r="H5" i="2"/>
  <c r="D5" i="2"/>
  <c r="C5" i="2"/>
  <c r="N4" i="2"/>
  <c r="I4" i="2"/>
  <c r="H4" i="2"/>
  <c r="D4" i="2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B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F18" i="4"/>
  <c r="E18" i="4"/>
  <c r="C18" i="4"/>
  <c r="B18" i="4"/>
  <c r="F17" i="4"/>
  <c r="E17" i="4"/>
  <c r="C17" i="4"/>
  <c r="B17" i="4"/>
  <c r="F16" i="4"/>
  <c r="E16" i="4"/>
  <c r="C16" i="4"/>
  <c r="B16" i="4"/>
  <c r="F15" i="4"/>
  <c r="E15" i="4"/>
  <c r="C15" i="4"/>
  <c r="B15" i="4"/>
  <c r="F14" i="4"/>
  <c r="E14" i="4"/>
  <c r="C14" i="4"/>
  <c r="B14" i="4"/>
  <c r="F13" i="4"/>
  <c r="E13" i="4"/>
  <c r="C13" i="4"/>
  <c r="B13" i="4"/>
  <c r="F12" i="4"/>
  <c r="E12" i="4"/>
  <c r="C12" i="4"/>
  <c r="B12" i="4"/>
  <c r="F11" i="4"/>
  <c r="E11" i="4"/>
  <c r="C11" i="4"/>
  <c r="B11" i="4"/>
  <c r="F10" i="4"/>
  <c r="E10" i="4"/>
  <c r="C10" i="4"/>
  <c r="B10" i="4"/>
  <c r="F9" i="4"/>
  <c r="E9" i="4"/>
  <c r="C9" i="4"/>
  <c r="B9" i="4"/>
  <c r="F8" i="4"/>
  <c r="E8" i="4"/>
  <c r="C8" i="4"/>
  <c r="B8" i="4"/>
  <c r="F7" i="4"/>
  <c r="E7" i="4"/>
  <c r="C7" i="4"/>
  <c r="B7" i="4"/>
  <c r="F6" i="4"/>
  <c r="E6" i="4"/>
  <c r="C6" i="4"/>
  <c r="B6" i="4"/>
  <c r="F5" i="4"/>
  <c r="E5" i="4"/>
  <c r="C5" i="4"/>
  <c r="B5" i="4"/>
  <c r="F4" i="4"/>
  <c r="E4" i="4"/>
  <c r="C4" i="4"/>
  <c r="B4" i="4"/>
  <c r="F3" i="4"/>
  <c r="E3" i="4"/>
  <c r="C3" i="4"/>
  <c r="B3" i="4"/>
  <c r="H6" i="4" l="1"/>
  <c r="I6" i="4" s="1"/>
  <c r="H4" i="4"/>
  <c r="I4" i="4" s="1"/>
  <c r="H5" i="4"/>
  <c r="I5" i="4" s="1"/>
  <c r="H3" i="4"/>
  <c r="I3" i="4" s="1"/>
  <c r="I7" i="4" l="1"/>
</calcChain>
</file>

<file path=xl/sharedStrings.xml><?xml version="1.0" encoding="utf-8"?>
<sst xmlns="http://schemas.openxmlformats.org/spreadsheetml/2006/main" count="386" uniqueCount="195">
  <si>
    <t>Итого, Цена €</t>
  </si>
  <si>
    <t>Надпись 5 и 3 см</t>
  </si>
  <si>
    <t>Цифры 3 см</t>
  </si>
  <si>
    <t>Кол-во зн.</t>
  </si>
  <si>
    <t>Сумма</t>
  </si>
  <si>
    <t>5 см</t>
  </si>
  <si>
    <t>3 см</t>
  </si>
  <si>
    <t>Циф. 3 см</t>
  </si>
  <si>
    <t>Знаки</t>
  </si>
  <si>
    <r>
      <rPr>
        <b/>
        <sz val="20"/>
        <rFont val="Calibri"/>
        <family val="2"/>
        <charset val="204"/>
        <scheme val="minor"/>
      </rPr>
      <t xml:space="preserve">Итого, </t>
    </r>
    <r>
      <rPr>
        <b/>
        <sz val="20"/>
        <color rgb="FFFF0000"/>
        <rFont val="Calibri"/>
        <family val="2"/>
        <charset val="204"/>
        <scheme val="minor"/>
      </rPr>
      <t>€</t>
    </r>
  </si>
  <si>
    <t>СКЛАД БУКВ CAGGIATI</t>
  </si>
  <si>
    <t>К списанию</t>
  </si>
  <si>
    <t>00950/10</t>
  </si>
  <si>
    <t>А</t>
  </si>
  <si>
    <t>00930/10</t>
  </si>
  <si>
    <t>а</t>
  </si>
  <si>
    <t>46303/3</t>
  </si>
  <si>
    <t>00950/15</t>
  </si>
  <si>
    <t>Б</t>
  </si>
  <si>
    <t>00930/15</t>
  </si>
  <si>
    <t>б</t>
  </si>
  <si>
    <t>46303/4</t>
  </si>
  <si>
    <t>00950/11</t>
  </si>
  <si>
    <t>В</t>
  </si>
  <si>
    <t>00930/11</t>
  </si>
  <si>
    <t>в</t>
  </si>
  <si>
    <t>46303/5</t>
  </si>
  <si>
    <t>00950/17</t>
  </si>
  <si>
    <t>Г</t>
  </si>
  <si>
    <t>00930/17</t>
  </si>
  <si>
    <t>г</t>
  </si>
  <si>
    <t>00950/19</t>
  </si>
  <si>
    <t>Д</t>
  </si>
  <si>
    <t>00930/19</t>
  </si>
  <si>
    <t>д</t>
  </si>
  <si>
    <t>46303/6</t>
  </si>
  <si>
    <t>00950/13</t>
  </si>
  <si>
    <t>Е</t>
  </si>
  <si>
    <t>00930/13</t>
  </si>
  <si>
    <t>е</t>
  </si>
  <si>
    <t>46303/7</t>
  </si>
  <si>
    <t>Ё</t>
  </si>
  <si>
    <t>ё</t>
  </si>
  <si>
    <t>46303/8</t>
  </si>
  <si>
    <t>00950/23</t>
  </si>
  <si>
    <t>Ж</t>
  </si>
  <si>
    <t>00930/23</t>
  </si>
  <si>
    <t>ж</t>
  </si>
  <si>
    <t>46051/00</t>
  </si>
  <si>
    <t>00950/25</t>
  </si>
  <si>
    <t>З</t>
  </si>
  <si>
    <t>00930/25</t>
  </si>
  <si>
    <t>з</t>
  </si>
  <si>
    <t>46055/00</t>
  </si>
  <si>
    <t>00950/27</t>
  </si>
  <si>
    <t>И</t>
  </si>
  <si>
    <t>00930/27</t>
  </si>
  <si>
    <t>и</t>
  </si>
  <si>
    <t>46057/00</t>
  </si>
  <si>
    <t>00950/31</t>
  </si>
  <si>
    <t>К</t>
  </si>
  <si>
    <t>00930/31</t>
  </si>
  <si>
    <t>к</t>
  </si>
  <si>
    <t>46061/00</t>
  </si>
  <si>
    <t>.</t>
  </si>
  <si>
    <t>00950/33</t>
  </si>
  <si>
    <t>Л</t>
  </si>
  <si>
    <t>00930/33</t>
  </si>
  <si>
    <t>л</t>
  </si>
  <si>
    <t>46063/00</t>
  </si>
  <si>
    <t>,</t>
  </si>
  <si>
    <t>00950/35</t>
  </si>
  <si>
    <t>М</t>
  </si>
  <si>
    <t>00930/35</t>
  </si>
  <si>
    <t>м</t>
  </si>
  <si>
    <t>-</t>
  </si>
  <si>
    <t>00950/36</t>
  </si>
  <si>
    <t>Н</t>
  </si>
  <si>
    <t>00930/36</t>
  </si>
  <si>
    <t>н</t>
  </si>
  <si>
    <t>00950/00</t>
  </si>
  <si>
    <t>Й</t>
  </si>
  <si>
    <t>00950/37</t>
  </si>
  <si>
    <t>О</t>
  </si>
  <si>
    <t>00930/37</t>
  </si>
  <si>
    <t>о</t>
  </si>
  <si>
    <t>й</t>
  </si>
  <si>
    <t>00950/39</t>
  </si>
  <si>
    <t>П</t>
  </si>
  <si>
    <t>00930/39</t>
  </si>
  <si>
    <t>п</t>
  </si>
  <si>
    <t>00950/40</t>
  </si>
  <si>
    <t>Р</t>
  </si>
  <si>
    <t>00930/40</t>
  </si>
  <si>
    <t>р</t>
  </si>
  <si>
    <t>00950/12</t>
  </si>
  <si>
    <t>С</t>
  </si>
  <si>
    <t>00930/12</t>
  </si>
  <si>
    <t>с</t>
  </si>
  <si>
    <t>00950/42</t>
  </si>
  <si>
    <t>Т</t>
  </si>
  <si>
    <t>00930/42</t>
  </si>
  <si>
    <t>т</t>
  </si>
  <si>
    <t>00950/44</t>
  </si>
  <si>
    <t>У</t>
  </si>
  <si>
    <t>00930/44</t>
  </si>
  <si>
    <t>у</t>
  </si>
  <si>
    <t>00950/46</t>
  </si>
  <si>
    <t>Ф</t>
  </si>
  <si>
    <t>00930/46</t>
  </si>
  <si>
    <t>ф</t>
  </si>
  <si>
    <t>00950/48</t>
  </si>
  <si>
    <t>Х</t>
  </si>
  <si>
    <t>00930/48</t>
  </si>
  <si>
    <t>х</t>
  </si>
  <si>
    <t>00950/52</t>
  </si>
  <si>
    <t>Ч</t>
  </si>
  <si>
    <t>00930/52</t>
  </si>
  <si>
    <t>ч</t>
  </si>
  <si>
    <t>00950/54</t>
  </si>
  <si>
    <t>Ш</t>
  </si>
  <si>
    <t>00930/54</t>
  </si>
  <si>
    <t>ш</t>
  </si>
  <si>
    <t>00950/56</t>
  </si>
  <si>
    <t>Щ</t>
  </si>
  <si>
    <t>00930/56</t>
  </si>
  <si>
    <t>щ</t>
  </si>
  <si>
    <t>00950/50</t>
  </si>
  <si>
    <t>Ц</t>
  </si>
  <si>
    <t>00930/50</t>
  </si>
  <si>
    <t>ц</t>
  </si>
  <si>
    <t>00950/60</t>
  </si>
  <si>
    <t>Ы</t>
  </si>
  <si>
    <t>00930/60</t>
  </si>
  <si>
    <t>ы</t>
  </si>
  <si>
    <t>00950/62</t>
  </si>
  <si>
    <t>Ь</t>
  </si>
  <si>
    <t>00930/62</t>
  </si>
  <si>
    <t>ь</t>
  </si>
  <si>
    <t>00950/58</t>
  </si>
  <si>
    <t>Ъ</t>
  </si>
  <si>
    <t>00930/58</t>
  </si>
  <si>
    <t>ъ</t>
  </si>
  <si>
    <t>00950/64</t>
  </si>
  <si>
    <t>Э</t>
  </si>
  <si>
    <t>00930/64</t>
  </si>
  <si>
    <t>э</t>
  </si>
  <si>
    <t>00950/66</t>
  </si>
  <si>
    <t>Ю</t>
  </si>
  <si>
    <t>00930/66</t>
  </si>
  <si>
    <t>ю</t>
  </si>
  <si>
    <t>00950/68</t>
  </si>
  <si>
    <t>Я</t>
  </si>
  <si>
    <t>00930/68</t>
  </si>
  <si>
    <t>я</t>
  </si>
  <si>
    <t>І</t>
  </si>
  <si>
    <t>і</t>
  </si>
  <si>
    <t>ТОЧКИ И ЗАПЯТЫЕ: ОСНОВА Cirillico Romano = Далее значение с этой закладки</t>
  </si>
  <si>
    <t>3см</t>
  </si>
  <si>
    <t>4см</t>
  </si>
  <si>
    <t>пусто</t>
  </si>
  <si>
    <t>5см, итого</t>
  </si>
  <si>
    <t>Цена, €</t>
  </si>
  <si>
    <t>4см, итого</t>
  </si>
  <si>
    <t>46507/0</t>
  </si>
  <si>
    <t>46405/0</t>
  </si>
  <si>
    <t>46507/1</t>
  </si>
  <si>
    <t>46405/1</t>
  </si>
  <si>
    <t>46507/2</t>
  </si>
  <si>
    <t>46405/2</t>
  </si>
  <si>
    <t>46507/3</t>
  </si>
  <si>
    <t>46405/3</t>
  </si>
  <si>
    <t>46507/4</t>
  </si>
  <si>
    <t>46405/4</t>
  </si>
  <si>
    <t>46507/5</t>
  </si>
  <si>
    <t>46405/5</t>
  </si>
  <si>
    <t>46507/6</t>
  </si>
  <si>
    <t>46405/6</t>
  </si>
  <si>
    <t>46507/7</t>
  </si>
  <si>
    <t>46405/7</t>
  </si>
  <si>
    <t>46507/8</t>
  </si>
  <si>
    <t>46405/8</t>
  </si>
  <si>
    <t>Аптикул</t>
  </si>
  <si>
    <t>буква</t>
  </si>
  <si>
    <t>кол-во</t>
  </si>
  <si>
    <t>Артикул</t>
  </si>
  <si>
    <t>количество</t>
  </si>
  <si>
    <t>5см</t>
  </si>
  <si>
    <t>3см, итого</t>
  </si>
  <si>
    <t>знаки, итого</t>
  </si>
  <si>
    <t>46303/0</t>
  </si>
  <si>
    <t>46303/1</t>
  </si>
  <si>
    <t>46303/2</t>
  </si>
  <si>
    <t>г с ч</t>
  </si>
  <si>
    <t>допы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</si>
</sst>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\ ##0.00_);_(&quot;$&quot;* \(#\ ##0.00\);_(&quot;$&quot;* &quot;-&quot;??_);_(@_)"/>
  </numFmts>
  <fonts count="27">
    <font>
      <sz val="11"/>
      <color theme="1"/>
      <name val="Calibri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6"/>
      <color rgb="FFC00000"/>
      <name val="Calibri"/>
      <family val="2"/>
      <charset val="204"/>
      <scheme val="minor"/>
    </font>
    <font>
      <sz val="11"/>
      <color theme="2" tint="-0.89996032593768116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20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MS Sans Serif"/>
      <charset val="134"/>
    </font>
    <font>
      <u/>
      <sz val="12"/>
      <color theme="10"/>
      <name val="Arial Narrow"/>
      <family val="2"/>
      <charset val="204"/>
    </font>
    <font>
      <u/>
      <sz val="11"/>
      <color theme="10"/>
      <name val="Calibri"/>
      <family val="2"/>
      <charset val="204"/>
    </font>
    <font>
      <sz val="12"/>
      <name val="Arial Narrow"/>
      <family val="2"/>
      <charset val="204"/>
    </font>
    <font>
      <sz val="8"/>
      <name val="Helv"/>
      <charset val="134"/>
    </font>
    <font>
      <b/>
      <sz val="20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0000FF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511703848384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7">
    <xf numFmtId="0" fontId="0" fillId="0" borderId="0"/>
    <xf numFmtId="164" fontId="17" fillId="0" borderId="0" applyFont="0" applyFill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2" fillId="0" borderId="0">
      <alignment horizontal="left"/>
    </xf>
  </cellStyleXfs>
  <cellXfs count="85">
    <xf numFmtId="0" fontId="0" fillId="0" borderId="0" xfId="0"/>
    <xf numFmtId="0" fontId="0" fillId="0" borderId="1" xfId="0" applyBorder="1"/>
    <xf numFmtId="0" fontId="5" fillId="2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Font="1" applyFill="1" applyBorder="1" applyAlignment="1">
      <alignment vertical="center"/>
    </xf>
    <xf numFmtId="0" fontId="8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 wrapText="1"/>
    </xf>
    <xf numFmtId="0" fontId="0" fillId="0" borderId="3" xfId="0" applyFill="1" applyBorder="1" applyAlignment="1">
      <alignment vertical="center"/>
    </xf>
    <xf numFmtId="0" fontId="0" fillId="0" borderId="3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9" fillId="0" borderId="0" xfId="0" applyFont="1" applyAlignment="1">
      <alignment vertical="center"/>
    </xf>
    <xf numFmtId="0" fontId="3" fillId="0" borderId="0" xfId="0" applyFont="1" applyFill="1" applyBorder="1" applyAlignment="1">
      <alignment horizontal="left" vertical="center"/>
    </xf>
    <xf numFmtId="0" fontId="10" fillId="0" borderId="4" xfId="0" applyFont="1" applyBorder="1" applyAlignment="1">
      <alignment vertical="center"/>
    </xf>
    <xf numFmtId="0" fontId="10" fillId="0" borderId="3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0" fillId="0" borderId="1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5" borderId="1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8" fillId="5" borderId="4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Border="1"/>
    <xf numFmtId="0" fontId="0" fillId="0" borderId="0" xfId="0" applyAlignment="1">
      <alignment horizontal="right"/>
    </xf>
    <xf numFmtId="0" fontId="9" fillId="0" borderId="0" xfId="0" applyFont="1"/>
    <xf numFmtId="0" fontId="9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6" fillId="2" borderId="17" xfId="0" applyFont="1" applyFill="1" applyBorder="1" applyAlignment="1">
      <alignment horizontal="center" vertical="center"/>
    </xf>
    <xf numFmtId="0" fontId="24" fillId="0" borderId="18" xfId="0" applyFont="1" applyFill="1" applyBorder="1" applyAlignment="1">
      <alignment horizontal="center" vertical="center"/>
    </xf>
    <xf numFmtId="0" fontId="25" fillId="10" borderId="18" xfId="0" applyFont="1" applyFill="1" applyBorder="1" applyAlignment="1">
      <alignment horizontal="center" vertical="center"/>
    </xf>
    <xf numFmtId="0" fontId="24" fillId="2" borderId="18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1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3" fillId="9" borderId="0" xfId="0" applyFont="1" applyFill="1" applyAlignment="1">
      <alignment horizontal="center" vertical="center"/>
    </xf>
    <xf numFmtId="49" fontId="7" fillId="5" borderId="16" xfId="0" applyNumberFormat="1" applyFont="1" applyFill="1" applyBorder="1" applyAlignment="1">
      <alignment horizontal="left" vertical="top" wrapText="1"/>
    </xf>
    <xf numFmtId="49" fontId="7" fillId="5" borderId="5" xfId="0" applyNumberFormat="1" applyFont="1" applyFill="1" applyBorder="1" applyAlignment="1">
      <alignment horizontal="left" vertical="top" wrapText="1"/>
    </xf>
    <xf numFmtId="49" fontId="7" fillId="5" borderId="8" xfId="0" applyNumberFormat="1" applyFont="1" applyFill="1" applyBorder="1" applyAlignment="1">
      <alignment horizontal="left" vertical="top" wrapText="1"/>
    </xf>
    <xf numFmtId="49" fontId="7" fillId="5" borderId="6" xfId="0" applyNumberFormat="1" applyFont="1" applyFill="1" applyBorder="1" applyAlignment="1">
      <alignment horizontal="left" vertical="top" wrapText="1"/>
    </xf>
    <xf numFmtId="49" fontId="7" fillId="5" borderId="0" xfId="0" applyNumberFormat="1" applyFont="1" applyFill="1" applyBorder="1" applyAlignment="1">
      <alignment horizontal="left" vertical="top" wrapText="1"/>
    </xf>
    <xf numFmtId="49" fontId="7" fillId="5" borderId="9" xfId="0" applyNumberFormat="1" applyFont="1" applyFill="1" applyBorder="1" applyAlignment="1">
      <alignment horizontal="left" vertical="top" wrapText="1"/>
    </xf>
    <xf numFmtId="49" fontId="7" fillId="5" borderId="7" xfId="0" applyNumberFormat="1" applyFont="1" applyFill="1" applyBorder="1" applyAlignment="1">
      <alignment horizontal="left" vertical="top" wrapText="1"/>
    </xf>
    <xf numFmtId="49" fontId="7" fillId="5" borderId="2" xfId="0" applyNumberFormat="1" applyFont="1" applyFill="1" applyBorder="1" applyAlignment="1">
      <alignment horizontal="left" vertical="top" wrapText="1"/>
    </xf>
    <xf numFmtId="49" fontId="7" fillId="5" borderId="10" xfId="0" applyNumberFormat="1" applyFont="1" applyFill="1" applyBorder="1" applyAlignment="1">
      <alignment horizontal="left" vertical="top" wrapText="1"/>
    </xf>
    <xf numFmtId="0" fontId="2" fillId="8" borderId="0" xfId="0" applyFont="1" applyFill="1" applyBorder="1" applyAlignment="1">
      <alignment horizontal="left" vertical="top"/>
    </xf>
    <xf numFmtId="0" fontId="3" fillId="8" borderId="0" xfId="0" applyFont="1" applyFill="1" applyBorder="1" applyAlignment="1">
      <alignment horizontal="left" vertical="top"/>
    </xf>
    <xf numFmtId="0" fontId="6" fillId="3" borderId="2" xfId="0" applyFont="1" applyFill="1" applyBorder="1" applyAlignment="1">
      <alignment horizontal="center"/>
    </xf>
    <xf numFmtId="0" fontId="10" fillId="0" borderId="4" xfId="0" applyFont="1" applyBorder="1" applyAlignment="1">
      <alignment horizontal="left" vertical="center"/>
    </xf>
    <xf numFmtId="0" fontId="10" fillId="0" borderId="3" xfId="0" applyFon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0" fontId="9" fillId="6" borderId="1" xfId="0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left" vertical="center" wrapText="1"/>
    </xf>
    <xf numFmtId="0" fontId="0" fillId="7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left" vertical="center"/>
    </xf>
    <xf numFmtId="2" fontId="3" fillId="2" borderId="4" xfId="0" applyNumberFormat="1" applyFont="1" applyFill="1" applyBorder="1" applyAlignment="1">
      <alignment horizontal="left" vertical="center"/>
    </xf>
    <xf numFmtId="2" fontId="3" fillId="2" borderId="12" xfId="0" applyNumberFormat="1" applyFont="1" applyFill="1" applyBorder="1" applyAlignment="1">
      <alignment horizontal="left" vertical="center"/>
    </xf>
    <xf numFmtId="2" fontId="3" fillId="2" borderId="3" xfId="0" applyNumberFormat="1" applyFont="1" applyFill="1" applyBorder="1" applyAlignment="1">
      <alignment horizontal="left" vertical="center"/>
    </xf>
  </cellXfs>
  <cellStyles count="7">
    <cellStyle name="Currency_TapePivot" xfId="1" xr:uid="{00000000-0005-0000-0000-00002F000000}"/>
    <cellStyle name="Normal_ALLOC1" xfId="2" xr:uid="{00000000-0005-0000-0000-000030000000}"/>
    <cellStyle name="Гиперссылка 2" xfId="3" xr:uid="{00000000-0005-0000-0000-000031000000}"/>
    <cellStyle name="Гиперссылка 3" xfId="4" xr:uid="{00000000-0005-0000-0000-000032000000}"/>
    <cellStyle name="Обычный" xfId="0" builtinId="0"/>
    <cellStyle name="Обычный 2" xfId="5" xr:uid="{00000000-0005-0000-0000-000033000000}"/>
    <cellStyle name="Обычный 3" xfId="6" xr:uid="{00000000-0005-0000-0000-000034000000}"/>
  </cellStyles>
  <dxfs count="23"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theme="0"/>
      </font>
      <fill>
        <patternFill patternType="solid">
          <bgColor rgb="FFC00000"/>
        </patternFill>
      </fill>
    </dxf>
    <dxf>
      <font>
        <b/>
        <i val="0"/>
        <color rgb="FFC00000"/>
      </font>
      <fill>
        <patternFill patternType="solid">
          <bgColor rgb="FFFFFF00"/>
        </patternFill>
      </fill>
    </dxf>
    <dxf>
      <font>
        <color theme="0"/>
      </font>
      <fill>
        <patternFill patternType="solid">
          <bgColor rgb="FFC00000"/>
        </patternFill>
      </fill>
    </dxf>
    <dxf>
      <font>
        <b/>
        <i val="0"/>
        <color rgb="FFC00000"/>
      </font>
      <fill>
        <patternFill patternType="solid">
          <bgColor rgb="FFFFFF00"/>
        </patternFill>
      </fill>
    </dxf>
    <dxf>
      <font>
        <color theme="0"/>
      </font>
      <fill>
        <patternFill patternType="solid">
          <bgColor rgb="FFC00000"/>
        </patternFill>
      </fill>
    </dxf>
    <dxf>
      <font>
        <b/>
        <i val="0"/>
        <color rgb="FFC00000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EDF98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 patternType="none"/>
      </fill>
    </dxf>
  </dxfs>
  <tableStyles count="0" defaultTableStyle="TableStyleMedium9" defaultPivotStyle="PivotStyleMedium7"/>
  <colors>
    <mruColors>
      <color rgb="FFEDF9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19</xdr:row>
          <xdr:rowOff>9525</xdr:rowOff>
        </xdr:from>
        <xdr:to>
          <xdr:col>15</xdr:col>
          <xdr:colOff>9525</xdr:colOff>
          <xdr:row>22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ВЫПОЛНИТЬ СПИСАНИЕ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I78"/>
  <sheetViews>
    <sheetView zoomScale="86" zoomScaleNormal="86" workbookViewId="0">
      <selection activeCell="G5" sqref="G5"/>
    </sheetView>
  </sheetViews>
  <sheetFormatPr defaultColWidth="11.42578125" defaultRowHeight="15"/>
  <cols>
    <col min="7" max="7" width="13.42578125" style="40" customWidth="1"/>
    <col min="8" max="8" width="14.85546875" customWidth="1"/>
  </cols>
  <sheetData>
    <row r="1" spans="2:9" ht="21">
      <c r="H1" s="53" t="s">
        <v>0</v>
      </c>
      <c r="I1" s="53"/>
    </row>
    <row r="2" spans="2:9" ht="18.75">
      <c r="B2" s="54" t="s">
        <v>1</v>
      </c>
      <c r="C2" s="54"/>
      <c r="E2" s="54" t="s">
        <v>2</v>
      </c>
      <c r="F2" s="54"/>
      <c r="H2" s="41" t="s">
        <v>3</v>
      </c>
      <c r="I2" s="41" t="s">
        <v>4</v>
      </c>
    </row>
    <row r="3" spans="2:9" ht="18.75">
      <c r="B3" t="str">
        <f>расчет!L5</f>
        <v>00950/15</v>
      </c>
      <c r="C3">
        <f>расчет!M5</f>
        <v>1</v>
      </c>
      <c r="E3" t="e">
        <f>'расчет - цифры 4 5 см'!I5</f>
        <v>#NUM!</v>
      </c>
      <c r="F3" t="e">
        <f>'расчет - цифры 4 5 см'!J5</f>
        <v>#NUM!</v>
      </c>
      <c r="G3" s="42" t="s">
        <v>5</v>
      </c>
      <c r="H3" s="43">
        <f>SUM('Сirilico Romano'!C4:C35)</f>
        <v>0</v>
      </c>
      <c r="I3" s="43">
        <f>SUM(H3*2.5)</f>
        <v>0</v>
      </c>
    </row>
    <row r="4" spans="2:9" ht="18.75">
      <c r="B4" t="str">
        <f>расчет!L6</f>
        <v>00950/11</v>
      </c>
      <c r="C4">
        <f>расчет!M6</f>
        <v>1</v>
      </c>
      <c r="E4" t="e">
        <f>'расчет - цифры 4 5 см'!I6</f>
        <v>#NUM!</v>
      </c>
      <c r="F4" t="e">
        <f>'расчет - цифры 4 5 см'!J6</f>
        <v>#NUM!</v>
      </c>
      <c r="G4" s="42" t="s">
        <v>6</v>
      </c>
      <c r="H4" s="43">
        <f>SUM('Сirilico Romano'!H4:H35)</f>
        <v>0</v>
      </c>
      <c r="I4" s="43">
        <f>SUM(H4*1.25)</f>
        <v>0</v>
      </c>
    </row>
    <row r="5" spans="2:9" ht="18.75">
      <c r="B5" t="str">
        <f>расчет!L7</f>
        <v>00950/19</v>
      </c>
      <c r="C5">
        <f>расчет!M7</f>
        <v>1</v>
      </c>
      <c r="E5" t="e">
        <f>'расчет - цифры 4 5 см'!I7</f>
        <v>#NUM!</v>
      </c>
      <c r="F5" t="e">
        <f>'расчет - цифры 4 5 см'!J7</f>
        <v>#NUM!</v>
      </c>
      <c r="G5" s="42" t="s">
        <v>7</v>
      </c>
      <c r="H5" s="43">
        <f>SUM('Сirilico Romano'!M4:M13)</f>
        <v>0</v>
      </c>
      <c r="I5" s="43">
        <f>SUM(H5*1.25)</f>
        <v>0</v>
      </c>
    </row>
    <row r="6" spans="2:9" ht="18.75">
      <c r="B6" t="str">
        <f>расчет!L8</f>
        <v>00950/31</v>
      </c>
      <c r="C6">
        <f>расчет!M8</f>
        <v>2</v>
      </c>
      <c r="E6" t="e">
        <f>'расчет - цифры 4 5 см'!I8</f>
        <v>#NUM!</v>
      </c>
      <c r="F6" t="e">
        <f>'расчет - цифры 4 5 см'!J8</f>
        <v>#NUM!</v>
      </c>
      <c r="G6" s="42" t="s">
        <v>8</v>
      </c>
      <c r="H6" s="44">
        <f>SUM('Сirilico Romano'!M14:M18)</f>
        <v>0</v>
      </c>
      <c r="I6" s="44">
        <f>SUM(H6*1)</f>
        <v>0</v>
      </c>
    </row>
    <row r="7" spans="2:9" ht="26.25">
      <c r="B7" t="str">
        <f>расчет!L9</f>
        <v>00950/33</v>
      </c>
      <c r="C7">
        <f>расчет!M9</f>
        <v>1</v>
      </c>
      <c r="E7" t="e">
        <f>'расчет - цифры 4 5 см'!I9</f>
        <v>#NUM!</v>
      </c>
      <c r="F7" t="e">
        <f>'расчет - цифры 4 5 см'!J9</f>
        <v>#NUM!</v>
      </c>
      <c r="G7" s="45"/>
      <c r="H7" s="46" t="s">
        <v>9</v>
      </c>
      <c r="I7" s="47">
        <f>SUM(I3:I5)</f>
        <v>0</v>
      </c>
    </row>
    <row r="8" spans="2:9">
      <c r="B8" t="str">
        <f>расчет!L10</f>
        <v>00950/12</v>
      </c>
      <c r="C8">
        <f>расчет!M10</f>
        <v>1</v>
      </c>
      <c r="E8" t="e">
        <f>'расчет - цифры 4 5 см'!I10</f>
        <v>#NUM!</v>
      </c>
      <c r="F8" t="e">
        <f>'расчет - цифры 4 5 см'!J10</f>
        <v>#NUM!</v>
      </c>
    </row>
    <row r="9" spans="2:9">
      <c r="B9" t="str">
        <f>расчет!L11</f>
        <v>00950/44</v>
      </c>
      <c r="C9">
        <f>расчет!M11</f>
        <v>1</v>
      </c>
      <c r="E9" t="e">
        <f>'расчет - цифры 4 5 см'!I11</f>
        <v>#NUM!</v>
      </c>
      <c r="F9" t="e">
        <f>'расчет - цифры 4 5 см'!J11</f>
        <v>#NUM!</v>
      </c>
    </row>
    <row r="10" spans="2:9">
      <c r="B10" t="e">
        <f>расчет!L12</f>
        <v>#NUM!</v>
      </c>
      <c r="C10" t="e">
        <f>расчет!M12</f>
        <v>#NUM!</v>
      </c>
      <c r="E10" t="e">
        <f>'расчет - цифры 4 5 см'!I12</f>
        <v>#NUM!</v>
      </c>
      <c r="F10" t="e">
        <f>'расчет - цифры 4 5 см'!J12</f>
        <v>#NUM!</v>
      </c>
    </row>
    <row r="11" spans="2:9">
      <c r="B11" t="e">
        <f>расчет!L13</f>
        <v>#NUM!</v>
      </c>
      <c r="C11" t="e">
        <f>расчет!M13</f>
        <v>#NUM!</v>
      </c>
      <c r="E11" t="e">
        <f>'расчет - цифры 4 5 см'!I13</f>
        <v>#NUM!</v>
      </c>
      <c r="F11" t="e">
        <f>'расчет - цифры 4 5 см'!J13</f>
        <v>#NUM!</v>
      </c>
    </row>
    <row r="12" spans="2:9">
      <c r="B12" t="e">
        <f>расчет!L14</f>
        <v>#NUM!</v>
      </c>
      <c r="C12" t="e">
        <f>расчет!M14</f>
        <v>#NUM!</v>
      </c>
      <c r="E12" t="e">
        <f>'расчет - цифры 4 5 см'!I14</f>
        <v>#NUM!</v>
      </c>
      <c r="F12" t="e">
        <f>'расчет - цифры 4 5 см'!J14</f>
        <v>#NUM!</v>
      </c>
    </row>
    <row r="13" spans="2:9">
      <c r="B13" t="e">
        <f>расчет!L15</f>
        <v>#NUM!</v>
      </c>
      <c r="C13" t="e">
        <f>расчет!M15</f>
        <v>#NUM!</v>
      </c>
      <c r="E13" t="e">
        <f>'расчет - цифры 4 5 см'!I15</f>
        <v>#NUM!</v>
      </c>
      <c r="F13" t="e">
        <f>'расчет - цифры 4 5 см'!J15</f>
        <v>#NUM!</v>
      </c>
    </row>
    <row r="14" spans="2:9">
      <c r="B14" t="e">
        <f>расчет!L16</f>
        <v>#NUM!</v>
      </c>
      <c r="C14" t="e">
        <f>расчет!M16</f>
        <v>#NUM!</v>
      </c>
      <c r="E14" t="e">
        <f>'расчет - цифры 4 5 см'!I16</f>
        <v>#NUM!</v>
      </c>
      <c r="F14" t="e">
        <f>'расчет - цифры 4 5 см'!J16</f>
        <v>#NUM!</v>
      </c>
    </row>
    <row r="15" spans="2:9">
      <c r="B15" t="e">
        <f>расчет!L17</f>
        <v>#NUM!</v>
      </c>
      <c r="C15" t="e">
        <f>расчет!M17</f>
        <v>#NUM!</v>
      </c>
      <c r="E15" t="e">
        <f>'расчет - цифры 4 5 см'!I17</f>
        <v>#NUM!</v>
      </c>
      <c r="F15" t="e">
        <f>'расчет - цифры 4 5 см'!J17</f>
        <v>#NUM!</v>
      </c>
    </row>
    <row r="16" spans="2:9">
      <c r="B16" t="e">
        <f>расчет!L18</f>
        <v>#NUM!</v>
      </c>
      <c r="C16" t="e">
        <f>расчет!M18</f>
        <v>#NUM!</v>
      </c>
      <c r="E16" t="e">
        <f>'расчет - цифры 4 5 см'!I18</f>
        <v>#NUM!</v>
      </c>
      <c r="F16" t="e">
        <f>'расчет - цифры 4 5 см'!J18</f>
        <v>#NUM!</v>
      </c>
    </row>
    <row r="17" spans="2:6">
      <c r="B17" t="e">
        <f>расчет!L19</f>
        <v>#NUM!</v>
      </c>
      <c r="C17" t="e">
        <f>расчет!M19</f>
        <v>#NUM!</v>
      </c>
      <c r="E17" t="e">
        <f>'расчет - цифры 4 5 см'!I19</f>
        <v>#NUM!</v>
      </c>
      <c r="F17" t="e">
        <f>'расчет - цифры 4 5 см'!J19</f>
        <v>#NUM!</v>
      </c>
    </row>
    <row r="18" spans="2:6">
      <c r="B18" t="e">
        <f>расчет!L20</f>
        <v>#NUM!</v>
      </c>
      <c r="C18" t="e">
        <f>расчет!M20</f>
        <v>#NUM!</v>
      </c>
      <c r="E18" t="e">
        <f>'расчет - цифры 4 5 см'!I20</f>
        <v>#NUM!</v>
      </c>
      <c r="F18" t="e">
        <f>'расчет - цифры 4 5 см'!J20</f>
        <v>#NUM!</v>
      </c>
    </row>
    <row r="19" spans="2:6">
      <c r="B19" t="e">
        <f>расчет!L21</f>
        <v>#NUM!</v>
      </c>
      <c r="C19" t="e">
        <f>расчет!M21</f>
        <v>#NUM!</v>
      </c>
    </row>
    <row r="20" spans="2:6">
      <c r="B20" t="e">
        <f>расчет!L22</f>
        <v>#NUM!</v>
      </c>
      <c r="C20" t="e">
        <f>расчет!M22</f>
        <v>#NUM!</v>
      </c>
    </row>
    <row r="21" spans="2:6">
      <c r="B21" t="e">
        <f>расчет!L23</f>
        <v>#NUM!</v>
      </c>
      <c r="C21" t="e">
        <f>расчет!M23</f>
        <v>#NUM!</v>
      </c>
    </row>
    <row r="22" spans="2:6">
      <c r="B22" t="e">
        <f>расчет!L24</f>
        <v>#NUM!</v>
      </c>
      <c r="C22" t="e">
        <f>расчет!M24</f>
        <v>#NUM!</v>
      </c>
    </row>
    <row r="23" spans="2:6">
      <c r="B23" t="e">
        <f>расчет!L25</f>
        <v>#NUM!</v>
      </c>
      <c r="C23" t="e">
        <f>расчет!M25</f>
        <v>#NUM!</v>
      </c>
    </row>
    <row r="24" spans="2:6">
      <c r="B24" t="e">
        <f>расчет!L26</f>
        <v>#NUM!</v>
      </c>
      <c r="C24" t="e">
        <f>расчет!M26</f>
        <v>#NUM!</v>
      </c>
    </row>
    <row r="25" spans="2:6">
      <c r="B25" t="e">
        <f>расчет!L27</f>
        <v>#NUM!</v>
      </c>
      <c r="C25" t="e">
        <f>расчет!M27</f>
        <v>#NUM!</v>
      </c>
    </row>
    <row r="26" spans="2:6">
      <c r="B26" t="e">
        <f>расчет!L28</f>
        <v>#NUM!</v>
      </c>
      <c r="C26" t="e">
        <f>расчет!M28</f>
        <v>#NUM!</v>
      </c>
    </row>
    <row r="27" spans="2:6">
      <c r="B27" t="e">
        <f>расчет!L29</f>
        <v>#NUM!</v>
      </c>
      <c r="C27" t="e">
        <f>расчет!M29</f>
        <v>#NUM!</v>
      </c>
    </row>
    <row r="28" spans="2:6">
      <c r="B28" t="e">
        <f>расчет!L30</f>
        <v>#NUM!</v>
      </c>
      <c r="C28" t="e">
        <f>расчет!M30</f>
        <v>#NUM!</v>
      </c>
    </row>
    <row r="29" spans="2:6">
      <c r="B29" t="e">
        <f>расчет!L31</f>
        <v>#NUM!</v>
      </c>
      <c r="C29" t="e">
        <f>расчет!M31</f>
        <v>#NUM!</v>
      </c>
    </row>
    <row r="30" spans="2:6">
      <c r="B30" t="e">
        <f>расчет!L32</f>
        <v>#NUM!</v>
      </c>
      <c r="C30" t="e">
        <f>расчет!M32</f>
        <v>#NUM!</v>
      </c>
    </row>
    <row r="31" spans="2:6">
      <c r="B31" t="e">
        <f>расчет!L33</f>
        <v>#NUM!</v>
      </c>
      <c r="C31" t="e">
        <f>расчет!M33</f>
        <v>#NUM!</v>
      </c>
    </row>
    <row r="32" spans="2:6">
      <c r="B32" t="e">
        <f>расчет!L34</f>
        <v>#NUM!</v>
      </c>
      <c r="C32" t="e">
        <f>расчет!M34</f>
        <v>#NUM!</v>
      </c>
    </row>
    <row r="33" spans="2:3">
      <c r="B33" t="e">
        <f>расчет!L35</f>
        <v>#NUM!</v>
      </c>
      <c r="C33" t="e">
        <f>расчет!M35</f>
        <v>#NUM!</v>
      </c>
    </row>
    <row r="34" spans="2:3">
      <c r="B34" t="e">
        <f>расчет!L36</f>
        <v>#NUM!</v>
      </c>
      <c r="C34" t="e">
        <f>расчет!M36</f>
        <v>#NUM!</v>
      </c>
    </row>
    <row r="35" spans="2:3">
      <c r="B35" t="e">
        <f>расчет!L37</f>
        <v>#NUM!</v>
      </c>
      <c r="C35" t="e">
        <f>расчет!M37</f>
        <v>#NUM!</v>
      </c>
    </row>
    <row r="36" spans="2:3">
      <c r="B36" t="e">
        <f>расчет!L38</f>
        <v>#NUM!</v>
      </c>
      <c r="C36" t="e">
        <f>расчет!M38</f>
        <v>#NUM!</v>
      </c>
    </row>
    <row r="37" spans="2:3">
      <c r="B37" t="e">
        <f>расчет!L39</f>
        <v>#NUM!</v>
      </c>
      <c r="C37" t="e">
        <f>расчет!M39</f>
        <v>#NUM!</v>
      </c>
    </row>
    <row r="38" spans="2:3">
      <c r="B38" t="e">
        <f>расчет!L40</f>
        <v>#NUM!</v>
      </c>
      <c r="C38" t="e">
        <f>расчет!M40</f>
        <v>#NUM!</v>
      </c>
    </row>
    <row r="39" spans="2:3">
      <c r="B39" t="e">
        <f>расчет!L41</f>
        <v>#NUM!</v>
      </c>
      <c r="C39" t="e">
        <f>расчет!M41</f>
        <v>#NUM!</v>
      </c>
    </row>
    <row r="40" spans="2:3">
      <c r="B40" t="e">
        <f>расчет!L42</f>
        <v>#NUM!</v>
      </c>
      <c r="C40" t="e">
        <f>расчет!M42</f>
        <v>#NUM!</v>
      </c>
    </row>
    <row r="41" spans="2:3">
      <c r="B41" t="e">
        <f>расчет!L43</f>
        <v>#NUM!</v>
      </c>
      <c r="C41" t="e">
        <f>расчет!M43</f>
        <v>#NUM!</v>
      </c>
    </row>
    <row r="42" spans="2:3">
      <c r="B42" t="e">
        <f>расчет!L44</f>
        <v>#NUM!</v>
      </c>
      <c r="C42" t="e">
        <f>расчет!M44</f>
        <v>#NUM!</v>
      </c>
    </row>
    <row r="43" spans="2:3">
      <c r="B43" t="e">
        <f>расчет!L45</f>
        <v>#NUM!</v>
      </c>
      <c r="C43" t="e">
        <f>расчет!M45</f>
        <v>#NUM!</v>
      </c>
    </row>
    <row r="44" spans="2:3">
      <c r="B44" t="e">
        <f>расчет!L46</f>
        <v>#NUM!</v>
      </c>
      <c r="C44" t="e">
        <f>расчет!M46</f>
        <v>#NUM!</v>
      </c>
    </row>
    <row r="45" spans="2:3">
      <c r="B45" t="e">
        <f>расчет!L47</f>
        <v>#NUM!</v>
      </c>
      <c r="C45" t="e">
        <f>расчет!M47</f>
        <v>#NUM!</v>
      </c>
    </row>
    <row r="46" spans="2:3">
      <c r="B46" t="e">
        <f>расчет!L48</f>
        <v>#NUM!</v>
      </c>
      <c r="C46" t="e">
        <f>расчет!M48</f>
        <v>#NUM!</v>
      </c>
    </row>
    <row r="47" spans="2:3">
      <c r="B47" t="e">
        <f>расчет!L49</f>
        <v>#NUM!</v>
      </c>
      <c r="C47" t="e">
        <f>расчет!M49</f>
        <v>#NUM!</v>
      </c>
    </row>
    <row r="48" spans="2:3">
      <c r="B48" t="e">
        <f>расчет!L50</f>
        <v>#NUM!</v>
      </c>
      <c r="C48" t="e">
        <f>расчет!M50</f>
        <v>#NUM!</v>
      </c>
    </row>
    <row r="49" spans="2:3">
      <c r="B49" t="e">
        <f>расчет!L51</f>
        <v>#NUM!</v>
      </c>
      <c r="C49" t="e">
        <f>расчет!M51</f>
        <v>#NUM!</v>
      </c>
    </row>
    <row r="50" spans="2:3">
      <c r="B50" t="e">
        <f>расчет!L52</f>
        <v>#NUM!</v>
      </c>
      <c r="C50" t="e">
        <f>расчет!M52</f>
        <v>#NUM!</v>
      </c>
    </row>
    <row r="51" spans="2:3">
      <c r="B51" t="e">
        <f>расчет!L53</f>
        <v>#NUM!</v>
      </c>
      <c r="C51" t="e">
        <f>расчет!M53</f>
        <v>#NUM!</v>
      </c>
    </row>
    <row r="52" spans="2:3">
      <c r="B52" t="e">
        <f>расчет!L54</f>
        <v>#NUM!</v>
      </c>
      <c r="C52" t="e">
        <f>расчет!M54</f>
        <v>#NUM!</v>
      </c>
    </row>
    <row r="53" spans="2:3">
      <c r="B53" t="e">
        <f>расчет!L55</f>
        <v>#NUM!</v>
      </c>
      <c r="C53" t="e">
        <f>расчет!M55</f>
        <v>#NUM!</v>
      </c>
    </row>
    <row r="54" spans="2:3">
      <c r="B54" t="e">
        <f>расчет!L56</f>
        <v>#NUM!</v>
      </c>
      <c r="C54" t="e">
        <f>расчет!M56</f>
        <v>#NUM!</v>
      </c>
    </row>
    <row r="55" spans="2:3">
      <c r="B55" t="e">
        <f>расчет!L57</f>
        <v>#NUM!</v>
      </c>
      <c r="C55" t="e">
        <f>расчет!M57</f>
        <v>#NUM!</v>
      </c>
    </row>
    <row r="56" spans="2:3">
      <c r="B56" t="e">
        <f>расчет!L58</f>
        <v>#NUM!</v>
      </c>
      <c r="C56" t="e">
        <f>расчет!M58</f>
        <v>#NUM!</v>
      </c>
    </row>
    <row r="57" spans="2:3">
      <c r="B57" t="e">
        <f>расчет!L59</f>
        <v>#NUM!</v>
      </c>
      <c r="C57" t="e">
        <f>расчет!M59</f>
        <v>#NUM!</v>
      </c>
    </row>
    <row r="58" spans="2:3">
      <c r="B58" t="e">
        <f>расчет!L60</f>
        <v>#NUM!</v>
      </c>
      <c r="C58" t="e">
        <f>расчет!M60</f>
        <v>#NUM!</v>
      </c>
    </row>
    <row r="59" spans="2:3">
      <c r="B59" t="e">
        <f>расчет!L61</f>
        <v>#NUM!</v>
      </c>
      <c r="C59" t="e">
        <f>расчет!M61</f>
        <v>#NUM!</v>
      </c>
    </row>
    <row r="60" spans="2:3">
      <c r="B60" t="e">
        <f>расчет!L62</f>
        <v>#NUM!</v>
      </c>
      <c r="C60" t="e">
        <f>расчет!M62</f>
        <v>#NUM!</v>
      </c>
    </row>
    <row r="61" spans="2:3">
      <c r="B61" t="e">
        <f>расчет!L63</f>
        <v>#NUM!</v>
      </c>
      <c r="C61" t="e">
        <f>расчет!M63</f>
        <v>#NUM!</v>
      </c>
    </row>
    <row r="62" spans="2:3">
      <c r="B62" t="e">
        <f>расчет!L64</f>
        <v>#NUM!</v>
      </c>
      <c r="C62" t="e">
        <f>расчет!M64</f>
        <v>#NUM!</v>
      </c>
    </row>
    <row r="63" spans="2:3">
      <c r="B63" t="e">
        <f>расчет!L65</f>
        <v>#NUM!</v>
      </c>
      <c r="C63" t="e">
        <f>расчет!M65</f>
        <v>#NUM!</v>
      </c>
    </row>
    <row r="64" spans="2:3">
      <c r="B64" t="e">
        <f>расчет!L66</f>
        <v>#NUM!</v>
      </c>
      <c r="C64" t="e">
        <f>расчет!M66</f>
        <v>#NUM!</v>
      </c>
    </row>
    <row r="65" spans="2:3">
      <c r="B65" t="e">
        <f>расчет!L67</f>
        <v>#NUM!</v>
      </c>
      <c r="C65" t="e">
        <f>расчет!M67</f>
        <v>#NUM!</v>
      </c>
    </row>
    <row r="66" spans="2:3">
      <c r="B66" t="e">
        <f>расчет!L68</f>
        <v>#NUM!</v>
      </c>
      <c r="C66" t="e">
        <f>расчет!M68</f>
        <v>#NUM!</v>
      </c>
    </row>
    <row r="67" spans="2:3">
      <c r="B67" t="e">
        <f>расчет!L69</f>
        <v>#NUM!</v>
      </c>
      <c r="C67" t="e">
        <f>расчет!M69</f>
        <v>#NUM!</v>
      </c>
    </row>
    <row r="68" spans="2:3">
      <c r="B68" t="e">
        <f>расчет!L70</f>
        <v>#NUM!</v>
      </c>
      <c r="C68" t="e">
        <f>расчет!M70</f>
        <v>#NUM!</v>
      </c>
    </row>
    <row r="69" spans="2:3">
      <c r="B69" t="e">
        <f>расчет!L71</f>
        <v>#NUM!</v>
      </c>
      <c r="C69" t="e">
        <f>расчет!M71</f>
        <v>#NUM!</v>
      </c>
    </row>
    <row r="70" spans="2:3">
      <c r="B70" t="e">
        <f>расчет!L72</f>
        <v>#NUM!</v>
      </c>
      <c r="C70" t="e">
        <f>расчет!M72</f>
        <v>#NUM!</v>
      </c>
    </row>
    <row r="71" spans="2:3">
      <c r="B71" t="e">
        <f>расчет!L73</f>
        <v>#NUM!</v>
      </c>
      <c r="C71" t="e">
        <f>расчет!M73</f>
        <v>#NUM!</v>
      </c>
    </row>
    <row r="72" spans="2:3">
      <c r="B72" t="e">
        <f>расчет!L74</f>
        <v>#NUM!</v>
      </c>
      <c r="C72" t="e">
        <f>расчет!M74</f>
        <v>#NUM!</v>
      </c>
    </row>
    <row r="73" spans="2:3">
      <c r="B73" t="e">
        <f>расчет!L75</f>
        <v>#NUM!</v>
      </c>
      <c r="C73" t="e">
        <f>расчет!M75</f>
        <v>#NUM!</v>
      </c>
    </row>
    <row r="74" spans="2:3">
      <c r="B74" t="e">
        <f>расчет!L76</f>
        <v>#NUM!</v>
      </c>
      <c r="C74" t="e">
        <f>расчет!M76</f>
        <v>#NUM!</v>
      </c>
    </row>
    <row r="75" spans="2:3">
      <c r="B75" t="e">
        <f>расчет!L77</f>
        <v>#NUM!</v>
      </c>
      <c r="C75" t="e">
        <f>расчет!M77</f>
        <v>#NUM!</v>
      </c>
    </row>
    <row r="76" spans="2:3">
      <c r="B76" t="e">
        <f>расчет!L78</f>
        <v>#NUM!</v>
      </c>
      <c r="C76" t="e">
        <f>расчет!M78</f>
        <v>#NUM!</v>
      </c>
    </row>
    <row r="77" spans="2:3">
      <c r="B77" t="e">
        <f>расчет!L79</f>
        <v>#NUM!</v>
      </c>
      <c r="C77" t="e">
        <f>расчет!M79</f>
        <v>#NUM!</v>
      </c>
    </row>
    <row r="78" spans="2:3">
      <c r="B78" t="e">
        <f>расчет!L80</f>
        <v>#NUM!</v>
      </c>
      <c r="C78" t="e">
        <f>расчет!M80</f>
        <v>#NUM!</v>
      </c>
    </row>
  </sheetData>
  <mergeCells count="3">
    <mergeCell ref="H1:I1"/>
    <mergeCell ref="B2:C2"/>
    <mergeCell ref="E2:F2"/>
  </mergeCells>
  <conditionalFormatting sqref="B3:F120">
    <cfRule type="containsErrors" dxfId="22" priority="20">
      <formula>ISERROR(B3)</formula>
    </cfRule>
  </conditionalFormatting>
  <conditionalFormatting sqref="B3:F77">
    <cfRule type="cellIs" dxfId="21" priority="19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92D050"/>
    <pageSetUpPr fitToPage="1"/>
  </sheetPr>
  <dimension ref="A1:AB43"/>
  <sheetViews>
    <sheetView tabSelected="1" workbookViewId="0">
      <pane ySplit="1" topLeftCell="A2" activePane="bottomLeft" state="frozen"/>
      <selection pane="bottomLeft" activeCell="H59" sqref="H59"/>
    </sheetView>
  </sheetViews>
  <sheetFormatPr defaultColWidth="11.42578125" defaultRowHeight="15"/>
  <cols>
    <col min="1" max="1" width="10" customWidth="1"/>
    <col min="2" max="2" width="4" customWidth="1"/>
    <col min="3" max="3" width="8.7109375" customWidth="1"/>
    <col min="4" max="4" width="0.42578125" style="31" customWidth="1"/>
    <col min="5" max="5" width="10.28515625" customWidth="1"/>
    <col min="6" max="6" width="9.28515625" customWidth="1"/>
    <col min="7" max="7" width="4.7109375" customWidth="1"/>
    <col min="8" max="8" width="8.85546875" customWidth="1"/>
    <col min="9" max="9" width="0.42578125" style="31" customWidth="1"/>
    <col min="10" max="10" width="8.28515625" customWidth="1"/>
    <col min="11" max="11" width="9.42578125" customWidth="1"/>
    <col min="12" max="12" width="5.7109375" customWidth="1"/>
    <col min="13" max="13" width="9.42578125" customWidth="1"/>
    <col min="14" max="14" width="0.28515625" style="32" customWidth="1"/>
    <col min="15" max="15" width="9" customWidth="1"/>
  </cols>
  <sheetData>
    <row r="1" spans="1:28" s="66" customFormat="1" ht="36.75" customHeight="1">
      <c r="A1" s="65" t="s">
        <v>10</v>
      </c>
    </row>
    <row r="2" spans="1:28" ht="19.5" customHeight="1">
      <c r="S2" s="67"/>
      <c r="T2" s="67"/>
      <c r="U2" s="67"/>
      <c r="V2" s="67"/>
      <c r="W2" s="67"/>
      <c r="X2" s="67"/>
      <c r="Y2" s="67"/>
      <c r="Z2" s="67"/>
      <c r="AA2" s="67"/>
      <c r="AB2" s="67"/>
    </row>
    <row r="3" spans="1:28" s="17" customFormat="1" ht="37.5" customHeight="1">
      <c r="A3" s="68"/>
      <c r="B3" s="69"/>
      <c r="C3" s="7" t="s">
        <v>11</v>
      </c>
      <c r="D3" s="8"/>
      <c r="E3" s="2">
        <f>SUM(E4:E37)</f>
        <v>838</v>
      </c>
      <c r="F3" s="70"/>
      <c r="G3" s="70"/>
      <c r="H3" s="33" t="s">
        <v>11</v>
      </c>
      <c r="I3" s="8"/>
      <c r="J3" s="2">
        <f>SUM(J4:J36,J37)</f>
        <v>6062</v>
      </c>
      <c r="K3" s="70"/>
      <c r="L3" s="70"/>
      <c r="M3" s="33" t="s">
        <v>11</v>
      </c>
      <c r="N3" s="8"/>
      <c r="O3" s="2">
        <f>SUM(O4:O13)</f>
        <v>1394</v>
      </c>
      <c r="P3" s="30"/>
      <c r="R3" s="52"/>
      <c r="S3" s="56"/>
      <c r="T3" s="57"/>
      <c r="U3" s="57"/>
      <c r="V3" s="57"/>
      <c r="W3" s="57"/>
      <c r="X3" s="57"/>
      <c r="Y3" s="57"/>
      <c r="Z3" s="57"/>
      <c r="AA3" s="57"/>
      <c r="AB3" s="58"/>
    </row>
    <row r="4" spans="1:28" ht="15.75">
      <c r="A4" s="9" t="s">
        <v>12</v>
      </c>
      <c r="B4" s="3" t="s">
        <v>13</v>
      </c>
      <c r="C4" s="10">
        <f t="shared" ref="C4:C15" si="0">SUMPRODUCT(LEN($S$3)-LEN(SUBSTITUTE($S$3,B4,"")))</f>
        <v>0</v>
      </c>
      <c r="D4" s="8">
        <f>E4</f>
        <v>0</v>
      </c>
      <c r="E4" s="4">
        <v>0</v>
      </c>
      <c r="F4" s="9" t="s">
        <v>14</v>
      </c>
      <c r="G4" s="3" t="s">
        <v>15</v>
      </c>
      <c r="H4" s="10">
        <f>SUMPRODUCT(LEN($S$3)-LEN(SUBSTITUTE($S$3,G4,"")))</f>
        <v>0</v>
      </c>
      <c r="I4" s="8">
        <f>J4</f>
        <v>0</v>
      </c>
      <c r="J4" s="4">
        <v>0</v>
      </c>
      <c r="K4" s="9" t="s">
        <v>16</v>
      </c>
      <c r="L4" s="3">
        <v>0</v>
      </c>
      <c r="M4" s="37">
        <f t="shared" ref="M4:M10" si="1">SUMPRODUCT(LEN($S$3)-LEN(SUBSTITUTE($S$3,L4,"")))</f>
        <v>0</v>
      </c>
      <c r="N4" s="38">
        <f>O4</f>
        <v>0</v>
      </c>
      <c r="O4" s="4">
        <v>0</v>
      </c>
      <c r="S4" s="59"/>
      <c r="T4" s="60"/>
      <c r="U4" s="60"/>
      <c r="V4" s="60"/>
      <c r="W4" s="60"/>
      <c r="X4" s="60"/>
      <c r="Y4" s="60"/>
      <c r="Z4" s="60"/>
      <c r="AA4" s="60"/>
      <c r="AB4" s="61"/>
    </row>
    <row r="5" spans="1:28" ht="15.75">
      <c r="A5" s="9" t="s">
        <v>17</v>
      </c>
      <c r="B5" s="3" t="s">
        <v>18</v>
      </c>
      <c r="C5" s="10">
        <f t="shared" si="0"/>
        <v>0</v>
      </c>
      <c r="D5" s="8">
        <f t="shared" ref="D5:D37" si="2">E5</f>
        <v>58</v>
      </c>
      <c r="E5" s="4">
        <v>58</v>
      </c>
      <c r="F5" s="9" t="s">
        <v>19</v>
      </c>
      <c r="G5" s="3" t="s">
        <v>20</v>
      </c>
      <c r="H5" s="10">
        <f>SUMPRODUCT(LEN($S$3)-LEN(SUBSTITUTE($S$3,G5,"")))</f>
        <v>0</v>
      </c>
      <c r="I5" s="8">
        <f t="shared" ref="I5:I37" si="3">J5</f>
        <v>398</v>
      </c>
      <c r="J5" s="4">
        <v>398</v>
      </c>
      <c r="K5" s="9" t="s">
        <v>21</v>
      </c>
      <c r="L5" s="3">
        <v>1</v>
      </c>
      <c r="M5" s="37">
        <f t="shared" si="1"/>
        <v>0</v>
      </c>
      <c r="N5" s="38">
        <f t="shared" ref="N5:N17" si="4">O5</f>
        <v>7</v>
      </c>
      <c r="O5" s="4">
        <v>7</v>
      </c>
      <c r="S5" s="59"/>
      <c r="T5" s="60"/>
      <c r="U5" s="60"/>
      <c r="V5" s="60"/>
      <c r="W5" s="60"/>
      <c r="X5" s="60"/>
      <c r="Y5" s="60"/>
      <c r="Z5" s="60"/>
      <c r="AA5" s="60"/>
      <c r="AB5" s="61"/>
    </row>
    <row r="6" spans="1:28" ht="15.75">
      <c r="A6" s="9" t="s">
        <v>22</v>
      </c>
      <c r="B6" s="3" t="s">
        <v>23</v>
      </c>
      <c r="C6" s="10">
        <f t="shared" si="0"/>
        <v>0</v>
      </c>
      <c r="D6" s="8">
        <f t="shared" si="2"/>
        <v>0</v>
      </c>
      <c r="E6" s="4">
        <v>0</v>
      </c>
      <c r="F6" s="9" t="s">
        <v>24</v>
      </c>
      <c r="G6" s="3" t="s">
        <v>25</v>
      </c>
      <c r="H6" s="10">
        <f t="shared" ref="H6:H35" si="5">SUMPRODUCT(LEN($S$3)-LEN(SUBSTITUTE($S$3,G6,"")))</f>
        <v>0</v>
      </c>
      <c r="I6" s="8">
        <f t="shared" si="3"/>
        <v>0</v>
      </c>
      <c r="J6" s="4">
        <v>0</v>
      </c>
      <c r="K6" s="9" t="s">
        <v>26</v>
      </c>
      <c r="L6" s="3">
        <v>2</v>
      </c>
      <c r="M6" s="37">
        <f t="shared" si="1"/>
        <v>0</v>
      </c>
      <c r="N6" s="38">
        <f t="shared" si="4"/>
        <v>85</v>
      </c>
      <c r="O6" s="4">
        <v>85</v>
      </c>
      <c r="S6" s="59"/>
      <c r="T6" s="60"/>
      <c r="U6" s="60"/>
      <c r="V6" s="60"/>
      <c r="W6" s="60"/>
      <c r="X6" s="60"/>
      <c r="Y6" s="60"/>
      <c r="Z6" s="60"/>
      <c r="AA6" s="60"/>
      <c r="AB6" s="61"/>
    </row>
    <row r="7" spans="1:28" ht="15.75">
      <c r="A7" s="9" t="s">
        <v>27</v>
      </c>
      <c r="B7" s="3" t="s">
        <v>28</v>
      </c>
      <c r="C7" s="10">
        <f t="shared" si="0"/>
        <v>0</v>
      </c>
      <c r="D7" s="8">
        <f t="shared" si="2"/>
        <v>24</v>
      </c>
      <c r="E7" s="4">
        <v>24</v>
      </c>
      <c r="F7" s="9" t="s">
        <v>29</v>
      </c>
      <c r="G7" s="3" t="s">
        <v>30</v>
      </c>
      <c r="H7" s="10">
        <f t="shared" si="5"/>
        <v>0</v>
      </c>
      <c r="I7" s="8">
        <f t="shared" si="3"/>
        <v>357</v>
      </c>
      <c r="J7" s="4">
        <v>357</v>
      </c>
      <c r="L7" s="3">
        <v>3</v>
      </c>
      <c r="M7" s="37">
        <f t="shared" si="1"/>
        <v>0</v>
      </c>
      <c r="N7" s="38">
        <f t="shared" si="4"/>
        <v>474</v>
      </c>
      <c r="O7" s="4">
        <v>474</v>
      </c>
      <c r="S7" s="59"/>
      <c r="T7" s="60"/>
      <c r="U7" s="60"/>
      <c r="V7" s="60"/>
      <c r="W7" s="60"/>
      <c r="X7" s="60"/>
      <c r="Y7" s="60"/>
      <c r="Z7" s="60"/>
      <c r="AA7" s="60"/>
      <c r="AB7" s="61"/>
    </row>
    <row r="8" spans="1:28" ht="15.75">
      <c r="A8" s="9" t="s">
        <v>31</v>
      </c>
      <c r="B8" s="3" t="s">
        <v>32</v>
      </c>
      <c r="C8" s="10">
        <f t="shared" si="0"/>
        <v>0</v>
      </c>
      <c r="D8" s="8">
        <f t="shared" si="2"/>
        <v>226</v>
      </c>
      <c r="E8" s="4">
        <v>226</v>
      </c>
      <c r="F8" s="9" t="s">
        <v>33</v>
      </c>
      <c r="G8" s="3" t="s">
        <v>34</v>
      </c>
      <c r="H8" s="10">
        <f t="shared" si="5"/>
        <v>0</v>
      </c>
      <c r="I8" s="8">
        <f t="shared" si="3"/>
        <v>108</v>
      </c>
      <c r="J8" s="4">
        <v>108</v>
      </c>
      <c r="K8" s="9" t="s">
        <v>35</v>
      </c>
      <c r="L8" s="3">
        <v>4</v>
      </c>
      <c r="M8" s="37">
        <f t="shared" si="1"/>
        <v>0</v>
      </c>
      <c r="N8" s="38">
        <f t="shared" si="4"/>
        <v>277</v>
      </c>
      <c r="O8" s="4">
        <v>277</v>
      </c>
      <c r="S8" s="59"/>
      <c r="T8" s="60"/>
      <c r="U8" s="60"/>
      <c r="V8" s="60"/>
      <c r="W8" s="60"/>
      <c r="X8" s="60"/>
      <c r="Y8" s="60"/>
      <c r="Z8" s="60"/>
      <c r="AA8" s="60"/>
      <c r="AB8" s="61"/>
    </row>
    <row r="9" spans="1:28" ht="15.75">
      <c r="A9" s="9" t="s">
        <v>36</v>
      </c>
      <c r="B9" s="3" t="s">
        <v>37</v>
      </c>
      <c r="C9" s="10">
        <f t="shared" si="0"/>
        <v>0</v>
      </c>
      <c r="D9" s="8">
        <f t="shared" si="2"/>
        <v>0</v>
      </c>
      <c r="E9" s="4">
        <v>0</v>
      </c>
      <c r="F9" s="9" t="s">
        <v>38</v>
      </c>
      <c r="G9" s="3" t="s">
        <v>39</v>
      </c>
      <c r="H9" s="10">
        <f t="shared" si="5"/>
        <v>0</v>
      </c>
      <c r="I9" s="8">
        <f t="shared" si="3"/>
        <v>210</v>
      </c>
      <c r="J9" s="4">
        <v>210</v>
      </c>
      <c r="K9" s="9" t="s">
        <v>40</v>
      </c>
      <c r="L9" s="3">
        <v>5</v>
      </c>
      <c r="M9" s="37">
        <f t="shared" si="1"/>
        <v>0</v>
      </c>
      <c r="N9" s="38">
        <f t="shared" si="4"/>
        <v>66</v>
      </c>
      <c r="O9" s="4">
        <v>66</v>
      </c>
      <c r="S9" s="59"/>
      <c r="T9" s="60"/>
      <c r="U9" s="60"/>
      <c r="V9" s="60"/>
      <c r="W9" s="60"/>
      <c r="X9" s="60"/>
      <c r="Y9" s="60"/>
      <c r="Z9" s="60"/>
      <c r="AA9" s="60"/>
      <c r="AB9" s="61"/>
    </row>
    <row r="10" spans="1:28" ht="20.25" customHeight="1">
      <c r="A10" s="9"/>
      <c r="B10" s="3" t="s">
        <v>41</v>
      </c>
      <c r="C10" s="10">
        <f t="shared" si="0"/>
        <v>0</v>
      </c>
      <c r="D10" s="8">
        <f t="shared" si="2"/>
        <v>0</v>
      </c>
      <c r="E10" s="4">
        <v>0</v>
      </c>
      <c r="F10" s="9"/>
      <c r="G10" s="3" t="s">
        <v>42</v>
      </c>
      <c r="H10" s="10">
        <f t="shared" si="5"/>
        <v>0</v>
      </c>
      <c r="I10" s="8">
        <f t="shared" si="3"/>
        <v>0</v>
      </c>
      <c r="J10" s="4">
        <v>0</v>
      </c>
      <c r="K10" s="9" t="s">
        <v>43</v>
      </c>
      <c r="M10" s="37">
        <f t="shared" si="1"/>
        <v>0</v>
      </c>
      <c r="N10" s="38"/>
      <c r="O10" s="4">
        <v>0</v>
      </c>
      <c r="S10" s="59"/>
      <c r="T10" s="60"/>
      <c r="U10" s="60"/>
      <c r="V10" s="60"/>
      <c r="W10" s="60"/>
      <c r="X10" s="60"/>
      <c r="Y10" s="60"/>
      <c r="Z10" s="60"/>
      <c r="AA10" s="60"/>
      <c r="AB10" s="61"/>
    </row>
    <row r="11" spans="1:28" ht="15.75">
      <c r="A11" s="9" t="s">
        <v>44</v>
      </c>
      <c r="B11" s="3" t="s">
        <v>45</v>
      </c>
      <c r="C11" s="10">
        <f t="shared" si="0"/>
        <v>0</v>
      </c>
      <c r="D11" s="8">
        <f t="shared" si="2"/>
        <v>52</v>
      </c>
      <c r="E11" s="4">
        <v>52</v>
      </c>
      <c r="F11" s="9" t="s">
        <v>46</v>
      </c>
      <c r="G11" s="3" t="s">
        <v>47</v>
      </c>
      <c r="H11" s="10">
        <f t="shared" si="5"/>
        <v>0</v>
      </c>
      <c r="I11" s="8">
        <f t="shared" si="3"/>
        <v>159</v>
      </c>
      <c r="J11" s="4">
        <v>159</v>
      </c>
      <c r="K11" s="9" t="s">
        <v>48</v>
      </c>
      <c r="L11" s="3">
        <v>6</v>
      </c>
      <c r="M11" s="37">
        <f>SUMPRODUCT(LEN($S$3)-LEN(SUBSTITUTE($S$3,6,"")))+SUMPRODUCT(LEN($S$3)-LEN(SUBSTITUTE($S$3,9,"")))</f>
        <v>0</v>
      </c>
      <c r="N11" s="38">
        <f t="shared" si="4"/>
        <v>147</v>
      </c>
      <c r="O11" s="4">
        <v>147</v>
      </c>
      <c r="S11" s="59"/>
      <c r="T11" s="60"/>
      <c r="U11" s="60"/>
      <c r="V11" s="60"/>
      <c r="W11" s="60"/>
      <c r="X11" s="60"/>
      <c r="Y11" s="60"/>
      <c r="Z11" s="60"/>
      <c r="AA11" s="60"/>
      <c r="AB11" s="61"/>
    </row>
    <row r="12" spans="1:28" ht="14.25" customHeight="1">
      <c r="A12" s="9" t="s">
        <v>49</v>
      </c>
      <c r="B12" s="3" t="s">
        <v>50</v>
      </c>
      <c r="C12" s="10">
        <f t="shared" si="0"/>
        <v>0</v>
      </c>
      <c r="D12" s="8">
        <f t="shared" si="2"/>
        <v>40</v>
      </c>
      <c r="E12" s="4">
        <v>40</v>
      </c>
      <c r="F12" s="9" t="s">
        <v>51</v>
      </c>
      <c r="G12" s="3" t="s">
        <v>52</v>
      </c>
      <c r="H12" s="10">
        <f t="shared" si="5"/>
        <v>0</v>
      </c>
      <c r="I12" s="8">
        <f t="shared" si="3"/>
        <v>265</v>
      </c>
      <c r="J12" s="4">
        <v>265</v>
      </c>
      <c r="K12" s="9" t="s">
        <v>53</v>
      </c>
      <c r="L12" s="3">
        <v>7</v>
      </c>
      <c r="M12" s="37">
        <f>SUMPRODUCT(LEN($S$3)-LEN(SUBSTITUTE($S$3,L12,"")))</f>
        <v>0</v>
      </c>
      <c r="N12" s="38">
        <f t="shared" si="4"/>
        <v>103</v>
      </c>
      <c r="O12" s="4">
        <v>103</v>
      </c>
      <c r="S12" s="59"/>
      <c r="T12" s="60"/>
      <c r="U12" s="60"/>
      <c r="V12" s="60"/>
      <c r="W12" s="60"/>
      <c r="X12" s="60"/>
      <c r="Y12" s="60"/>
      <c r="Z12" s="60"/>
      <c r="AA12" s="60"/>
      <c r="AB12" s="61"/>
    </row>
    <row r="13" spans="1:28" ht="15.75" customHeight="1">
      <c r="A13" s="9" t="s">
        <v>54</v>
      </c>
      <c r="B13" s="3" t="s">
        <v>55</v>
      </c>
      <c r="C13" s="10">
        <f t="shared" si="0"/>
        <v>0</v>
      </c>
      <c r="D13" s="8">
        <f t="shared" si="2"/>
        <v>0</v>
      </c>
      <c r="E13" s="4">
        <v>0</v>
      </c>
      <c r="F13" s="9" t="s">
        <v>56</v>
      </c>
      <c r="G13" s="3" t="s">
        <v>57</v>
      </c>
      <c r="H13" s="10">
        <f t="shared" si="5"/>
        <v>0</v>
      </c>
      <c r="I13" s="8">
        <f t="shared" si="3"/>
        <v>4</v>
      </c>
      <c r="J13" s="4">
        <v>4</v>
      </c>
      <c r="K13" s="9" t="s">
        <v>58</v>
      </c>
      <c r="L13" s="3">
        <v>8</v>
      </c>
      <c r="M13" s="37">
        <f>SUMPRODUCT(LEN($S$3)-LEN(SUBSTITUTE($S$3,L13,"")))</f>
        <v>0</v>
      </c>
      <c r="N13" s="38">
        <f t="shared" si="4"/>
        <v>235</v>
      </c>
      <c r="O13" s="4">
        <v>235</v>
      </c>
      <c r="S13" s="59"/>
      <c r="T13" s="60"/>
      <c r="U13" s="60"/>
      <c r="V13" s="60"/>
      <c r="W13" s="60"/>
      <c r="X13" s="60"/>
      <c r="Y13" s="60"/>
      <c r="Z13" s="60"/>
      <c r="AA13" s="60"/>
      <c r="AB13" s="61"/>
    </row>
    <row r="14" spans="1:28" ht="15.75">
      <c r="A14" s="9" t="s">
        <v>59</v>
      </c>
      <c r="B14" s="3" t="s">
        <v>60</v>
      </c>
      <c r="C14" s="10">
        <f t="shared" si="0"/>
        <v>0</v>
      </c>
      <c r="D14" s="8">
        <f t="shared" si="2"/>
        <v>0</v>
      </c>
      <c r="E14" s="4">
        <v>0</v>
      </c>
      <c r="F14" s="9" t="s">
        <v>61</v>
      </c>
      <c r="G14" s="3" t="s">
        <v>62</v>
      </c>
      <c r="H14" s="10">
        <f t="shared" si="5"/>
        <v>0</v>
      </c>
      <c r="I14" s="8">
        <f t="shared" si="3"/>
        <v>169</v>
      </c>
      <c r="J14" s="4">
        <v>169</v>
      </c>
      <c r="K14" s="9" t="s">
        <v>63</v>
      </c>
      <c r="L14" s="3" t="s">
        <v>64</v>
      </c>
      <c r="M14" s="37">
        <f>SUMPRODUCT(LEN($S$3)-LEN(SUBSTITUTE($S$3,L14,"")))</f>
        <v>0</v>
      </c>
      <c r="N14" s="38">
        <f t="shared" si="4"/>
        <v>1</v>
      </c>
      <c r="O14" s="4">
        <v>1</v>
      </c>
      <c r="S14" s="59"/>
      <c r="T14" s="60"/>
      <c r="U14" s="60"/>
      <c r="V14" s="60"/>
      <c r="W14" s="60"/>
      <c r="X14" s="60"/>
      <c r="Y14" s="60"/>
      <c r="Z14" s="60"/>
      <c r="AA14" s="60"/>
      <c r="AB14" s="61"/>
    </row>
    <row r="15" spans="1:28" ht="20.25" customHeight="1">
      <c r="A15" s="9" t="s">
        <v>65</v>
      </c>
      <c r="B15" s="3" t="s">
        <v>66</v>
      </c>
      <c r="C15" s="10">
        <f t="shared" si="0"/>
        <v>0</v>
      </c>
      <c r="D15" s="8">
        <f t="shared" si="2"/>
        <v>0</v>
      </c>
      <c r="E15" s="4">
        <v>0</v>
      </c>
      <c r="F15" s="9" t="s">
        <v>67</v>
      </c>
      <c r="G15" s="3" t="s">
        <v>68</v>
      </c>
      <c r="H15" s="10">
        <f t="shared" si="5"/>
        <v>0</v>
      </c>
      <c r="I15" s="8">
        <f t="shared" si="3"/>
        <v>28</v>
      </c>
      <c r="J15" s="4">
        <v>28</v>
      </c>
      <c r="K15" s="14" t="s">
        <v>69</v>
      </c>
      <c r="L15" s="3" t="s">
        <v>70</v>
      </c>
      <c r="M15" s="37">
        <f>(SUMPRODUCT(LEN($S$3)-LEN(SUBSTITUTE($S$3,L15,""))))</f>
        <v>0</v>
      </c>
      <c r="N15" s="38">
        <f t="shared" si="4"/>
        <v>486</v>
      </c>
      <c r="O15" s="4">
        <v>486</v>
      </c>
      <c r="S15" s="59"/>
      <c r="T15" s="60"/>
      <c r="U15" s="60"/>
      <c r="V15" s="60"/>
      <c r="W15" s="60"/>
      <c r="X15" s="60"/>
      <c r="Y15" s="60"/>
      <c r="Z15" s="60"/>
      <c r="AA15" s="60"/>
      <c r="AB15" s="61"/>
    </row>
    <row r="16" spans="1:28" ht="15.75">
      <c r="A16" s="9" t="s">
        <v>71</v>
      </c>
      <c r="B16" s="3" t="s">
        <v>72</v>
      </c>
      <c r="C16" s="10">
        <f t="shared" ref="C16:C37" si="6">SUMPRODUCT(LEN($S$3)-LEN(SUBSTITUTE($S$3,B16,"")))</f>
        <v>0</v>
      </c>
      <c r="D16" s="8">
        <f t="shared" si="2"/>
        <v>3</v>
      </c>
      <c r="E16" s="4">
        <v>3</v>
      </c>
      <c r="F16" s="9" t="s">
        <v>73</v>
      </c>
      <c r="G16" s="3" t="s">
        <v>74</v>
      </c>
      <c r="H16" s="10">
        <f t="shared" si="5"/>
        <v>0</v>
      </c>
      <c r="I16" s="8">
        <f t="shared" si="3"/>
        <v>159</v>
      </c>
      <c r="J16" s="4">
        <v>159</v>
      </c>
      <c r="K16" s="15">
        <v>71</v>
      </c>
      <c r="L16" s="3" t="s">
        <v>75</v>
      </c>
      <c r="M16" s="37">
        <f>(SUMPRODUCT(LEN($S$3)-LEN(SUBSTITUTE($S$3,L16,""))))</f>
        <v>0</v>
      </c>
      <c r="N16" s="38">
        <f t="shared" si="4"/>
        <v>285</v>
      </c>
      <c r="O16" s="4">
        <v>285</v>
      </c>
      <c r="S16" s="59"/>
      <c r="T16" s="60"/>
      <c r="U16" s="60"/>
      <c r="V16" s="60"/>
      <c r="W16" s="60"/>
      <c r="X16" s="60"/>
      <c r="Y16" s="60"/>
      <c r="Z16" s="60"/>
      <c r="AA16" s="60"/>
      <c r="AB16" s="61"/>
    </row>
    <row r="17" spans="1:28" ht="15.75">
      <c r="A17" s="9" t="s">
        <v>76</v>
      </c>
      <c r="B17" s="3" t="s">
        <v>77</v>
      </c>
      <c r="C17" s="10">
        <f t="shared" si="6"/>
        <v>0</v>
      </c>
      <c r="D17" s="8">
        <f t="shared" si="2"/>
        <v>4</v>
      </c>
      <c r="E17" s="4">
        <v>4</v>
      </c>
      <c r="F17" s="9" t="s">
        <v>78</v>
      </c>
      <c r="G17" s="3" t="s">
        <v>79</v>
      </c>
      <c r="H17" s="10">
        <f t="shared" si="5"/>
        <v>0</v>
      </c>
      <c r="I17" s="8">
        <f t="shared" si="3"/>
        <v>3</v>
      </c>
      <c r="J17" s="4">
        <v>3</v>
      </c>
      <c r="K17" s="15" t="s">
        <v>80</v>
      </c>
      <c r="L17" s="3" t="s">
        <v>81</v>
      </c>
      <c r="M17" s="37">
        <f>(SUMPRODUCT(LEN($S$3)-LEN(SUBSTITUTE($S$3,L17,""))))</f>
        <v>0</v>
      </c>
      <c r="N17" s="38">
        <f t="shared" si="4"/>
        <v>10</v>
      </c>
      <c r="O17" s="4">
        <v>10</v>
      </c>
      <c r="S17" s="59"/>
      <c r="T17" s="60"/>
      <c r="U17" s="60"/>
      <c r="V17" s="60"/>
      <c r="W17" s="60"/>
      <c r="X17" s="60"/>
      <c r="Y17" s="60"/>
      <c r="Z17" s="60"/>
      <c r="AA17" s="60"/>
      <c r="AB17" s="61"/>
    </row>
    <row r="18" spans="1:28" ht="15.75" customHeight="1">
      <c r="A18" s="9" t="s">
        <v>82</v>
      </c>
      <c r="B18" s="3" t="s">
        <v>83</v>
      </c>
      <c r="C18" s="10">
        <f t="shared" si="6"/>
        <v>0</v>
      </c>
      <c r="D18" s="8">
        <f t="shared" si="2"/>
        <v>2</v>
      </c>
      <c r="E18" s="4">
        <v>2</v>
      </c>
      <c r="F18" s="9" t="s">
        <v>84</v>
      </c>
      <c r="G18" s="3" t="s">
        <v>85</v>
      </c>
      <c r="H18" s="10">
        <f t="shared" si="5"/>
        <v>0</v>
      </c>
      <c r="I18" s="8">
        <f t="shared" si="3"/>
        <v>59</v>
      </c>
      <c r="J18" s="4">
        <v>59</v>
      </c>
      <c r="K18" s="16" t="s">
        <v>80</v>
      </c>
      <c r="L18" s="3" t="s">
        <v>86</v>
      </c>
      <c r="M18" s="37">
        <f>(SUMPRODUCT(LEN($S$3)-LEN(SUBSTITUTE($S$3,L18,""))))</f>
        <v>0</v>
      </c>
      <c r="N18" s="38">
        <f>O17</f>
        <v>10</v>
      </c>
      <c r="O18" s="4">
        <v>805</v>
      </c>
      <c r="S18" s="59"/>
      <c r="T18" s="60"/>
      <c r="U18" s="60"/>
      <c r="V18" s="60"/>
      <c r="W18" s="60"/>
      <c r="X18" s="60"/>
      <c r="Y18" s="60"/>
      <c r="Z18" s="60"/>
      <c r="AA18" s="60"/>
      <c r="AB18" s="61"/>
    </row>
    <row r="19" spans="1:28" ht="15.75">
      <c r="A19" s="9" t="s">
        <v>87</v>
      </c>
      <c r="B19" s="3" t="s">
        <v>88</v>
      </c>
      <c r="C19" s="10">
        <f t="shared" si="6"/>
        <v>0</v>
      </c>
      <c r="D19" s="8">
        <f t="shared" si="2"/>
        <v>60</v>
      </c>
      <c r="E19" s="4">
        <v>60</v>
      </c>
      <c r="F19" s="9" t="s">
        <v>89</v>
      </c>
      <c r="G19" s="3" t="s">
        <v>90</v>
      </c>
      <c r="H19" s="10">
        <f t="shared" si="5"/>
        <v>0</v>
      </c>
      <c r="I19" s="8">
        <f t="shared" si="3"/>
        <v>460</v>
      </c>
      <c r="J19" s="4">
        <v>460</v>
      </c>
      <c r="K19" s="51" t="s">
        <v>194</v>
      </c>
      <c r="O19" s="50">
        <v>101</v>
      </c>
      <c r="S19" s="59"/>
      <c r="T19" s="60"/>
      <c r="U19" s="60"/>
      <c r="V19" s="60"/>
      <c r="W19" s="60"/>
      <c r="X19" s="60"/>
      <c r="Y19" s="60"/>
      <c r="Z19" s="60"/>
      <c r="AA19" s="60"/>
      <c r="AB19" s="61"/>
    </row>
    <row r="20" spans="1:28" ht="15.75">
      <c r="A20" s="9" t="s">
        <v>91</v>
      </c>
      <c r="B20" s="3" t="s">
        <v>92</v>
      </c>
      <c r="C20" s="10">
        <f t="shared" si="6"/>
        <v>0</v>
      </c>
      <c r="D20" s="8">
        <f t="shared" si="2"/>
        <v>26</v>
      </c>
      <c r="E20" s="4">
        <v>26</v>
      </c>
      <c r="F20" s="9" t="s">
        <v>93</v>
      </c>
      <c r="G20" s="3" t="s">
        <v>94</v>
      </c>
      <c r="H20" s="10">
        <f t="shared" si="5"/>
        <v>0</v>
      </c>
      <c r="I20" s="8">
        <f t="shared" si="3"/>
        <v>41</v>
      </c>
      <c r="J20" s="4">
        <v>41</v>
      </c>
      <c r="K20" s="5"/>
      <c r="L20" s="5"/>
      <c r="M20" s="6"/>
      <c r="O20" s="39"/>
      <c r="S20" s="59"/>
      <c r="T20" s="60"/>
      <c r="U20" s="60"/>
      <c r="V20" s="60"/>
      <c r="W20" s="60"/>
      <c r="X20" s="60"/>
      <c r="Y20" s="60"/>
      <c r="Z20" s="60"/>
      <c r="AA20" s="60"/>
      <c r="AB20" s="61"/>
    </row>
    <row r="21" spans="1:28" ht="15.75">
      <c r="A21" s="9" t="s">
        <v>95</v>
      </c>
      <c r="B21" s="3" t="s">
        <v>96</v>
      </c>
      <c r="C21" s="10">
        <f t="shared" si="6"/>
        <v>0</v>
      </c>
      <c r="D21" s="8">
        <f t="shared" si="2"/>
        <v>7</v>
      </c>
      <c r="E21" s="4">
        <v>7</v>
      </c>
      <c r="F21" s="9" t="s">
        <v>97</v>
      </c>
      <c r="G21" s="3" t="s">
        <v>98</v>
      </c>
      <c r="H21" s="10">
        <f t="shared" si="5"/>
        <v>0</v>
      </c>
      <c r="I21" s="8">
        <f t="shared" si="3"/>
        <v>46</v>
      </c>
      <c r="J21" s="4">
        <v>46</v>
      </c>
      <c r="K21" s="5"/>
      <c r="L21" s="5"/>
      <c r="M21" s="6"/>
      <c r="O21" s="39"/>
      <c r="S21" s="59"/>
      <c r="T21" s="60"/>
      <c r="U21" s="60"/>
      <c r="V21" s="60"/>
      <c r="W21" s="60"/>
      <c r="X21" s="60"/>
      <c r="Y21" s="60"/>
      <c r="Z21" s="60"/>
      <c r="AA21" s="60"/>
      <c r="AB21" s="61"/>
    </row>
    <row r="22" spans="1:28" ht="15.75">
      <c r="A22" s="9" t="s">
        <v>99</v>
      </c>
      <c r="B22" s="3" t="s">
        <v>100</v>
      </c>
      <c r="C22" s="10">
        <f t="shared" si="6"/>
        <v>0</v>
      </c>
      <c r="D22" s="8">
        <f t="shared" si="2"/>
        <v>22</v>
      </c>
      <c r="E22" s="4">
        <v>22</v>
      </c>
      <c r="F22" s="9" t="s">
        <v>101</v>
      </c>
      <c r="G22" s="3" t="s">
        <v>102</v>
      </c>
      <c r="H22" s="10">
        <f t="shared" si="5"/>
        <v>0</v>
      </c>
      <c r="I22" s="8">
        <f t="shared" si="3"/>
        <v>117</v>
      </c>
      <c r="J22" s="4">
        <v>117</v>
      </c>
      <c r="K22" s="5"/>
      <c r="L22" s="5"/>
      <c r="M22" s="6"/>
      <c r="O22" s="39"/>
      <c r="S22" s="59"/>
      <c r="T22" s="60"/>
      <c r="U22" s="60"/>
      <c r="V22" s="60"/>
      <c r="W22" s="60"/>
      <c r="X22" s="60"/>
      <c r="Y22" s="60"/>
      <c r="Z22" s="60"/>
      <c r="AA22" s="60"/>
      <c r="AB22" s="61"/>
    </row>
    <row r="23" spans="1:28" ht="15.75">
      <c r="A23" s="9" t="s">
        <v>103</v>
      </c>
      <c r="B23" s="3" t="s">
        <v>104</v>
      </c>
      <c r="C23" s="10">
        <f t="shared" si="6"/>
        <v>0</v>
      </c>
      <c r="D23" s="8">
        <f t="shared" si="2"/>
        <v>21</v>
      </c>
      <c r="E23" s="4">
        <v>21</v>
      </c>
      <c r="F23" s="9" t="s">
        <v>105</v>
      </c>
      <c r="G23" s="3" t="s">
        <v>106</v>
      </c>
      <c r="H23" s="10">
        <f t="shared" si="5"/>
        <v>0</v>
      </c>
      <c r="I23" s="8">
        <f t="shared" si="3"/>
        <v>383</v>
      </c>
      <c r="J23" s="4">
        <v>383</v>
      </c>
      <c r="K23" s="5"/>
      <c r="L23" s="5"/>
      <c r="M23" s="6"/>
      <c r="O23" s="39"/>
      <c r="S23" s="59"/>
      <c r="T23" s="60"/>
      <c r="U23" s="60"/>
      <c r="V23" s="60"/>
      <c r="W23" s="60"/>
      <c r="X23" s="60"/>
      <c r="Y23" s="60"/>
      <c r="Z23" s="60"/>
      <c r="AA23" s="60"/>
      <c r="AB23" s="61"/>
    </row>
    <row r="24" spans="1:28" ht="15.75">
      <c r="A24" s="9" t="s">
        <v>107</v>
      </c>
      <c r="B24" s="3" t="s">
        <v>108</v>
      </c>
      <c r="C24" s="10">
        <f t="shared" si="6"/>
        <v>0</v>
      </c>
      <c r="D24" s="8">
        <f t="shared" si="2"/>
        <v>24</v>
      </c>
      <c r="E24" s="4">
        <v>24</v>
      </c>
      <c r="F24" s="9" t="s">
        <v>109</v>
      </c>
      <c r="G24" s="3" t="s">
        <v>110</v>
      </c>
      <c r="H24" s="10">
        <f t="shared" si="5"/>
        <v>0</v>
      </c>
      <c r="I24" s="8">
        <f t="shared" si="3"/>
        <v>329</v>
      </c>
      <c r="J24" s="4">
        <v>329</v>
      </c>
      <c r="K24" s="5"/>
      <c r="L24" s="5"/>
      <c r="M24" s="6"/>
      <c r="O24" s="39"/>
      <c r="S24" s="59"/>
      <c r="T24" s="60"/>
      <c r="U24" s="60"/>
      <c r="V24" s="60"/>
      <c r="W24" s="60"/>
      <c r="X24" s="60"/>
      <c r="Y24" s="60"/>
      <c r="Z24" s="60"/>
      <c r="AA24" s="60"/>
      <c r="AB24" s="61"/>
    </row>
    <row r="25" spans="1:28" ht="15.75">
      <c r="A25" s="9" t="s">
        <v>111</v>
      </c>
      <c r="B25" s="3" t="s">
        <v>112</v>
      </c>
      <c r="C25" s="10">
        <f t="shared" si="6"/>
        <v>0</v>
      </c>
      <c r="D25" s="8">
        <f t="shared" si="2"/>
        <v>18</v>
      </c>
      <c r="E25" s="4">
        <v>18</v>
      </c>
      <c r="F25" s="9" t="s">
        <v>113</v>
      </c>
      <c r="G25" s="3" t="s">
        <v>114</v>
      </c>
      <c r="H25" s="10">
        <f t="shared" si="5"/>
        <v>0</v>
      </c>
      <c r="I25" s="8">
        <f t="shared" si="3"/>
        <v>143</v>
      </c>
      <c r="J25" s="4">
        <v>143</v>
      </c>
      <c r="K25" s="5"/>
      <c r="L25" s="5"/>
      <c r="M25" s="6"/>
      <c r="O25" s="39"/>
      <c r="S25" s="59"/>
      <c r="T25" s="60"/>
      <c r="U25" s="60"/>
      <c r="V25" s="60"/>
      <c r="W25" s="60"/>
      <c r="X25" s="60"/>
      <c r="Y25" s="60"/>
      <c r="Z25" s="60"/>
      <c r="AA25" s="60"/>
      <c r="AB25" s="61"/>
    </row>
    <row r="26" spans="1:28" ht="15.75">
      <c r="A26" s="9" t="s">
        <v>115</v>
      </c>
      <c r="B26" s="3" t="s">
        <v>116</v>
      </c>
      <c r="C26" s="10">
        <f t="shared" si="6"/>
        <v>0</v>
      </c>
      <c r="D26" s="8">
        <f t="shared" si="2"/>
        <v>4</v>
      </c>
      <c r="E26" s="4">
        <v>4</v>
      </c>
      <c r="F26" s="9" t="s">
        <v>117</v>
      </c>
      <c r="G26" s="3" t="s">
        <v>118</v>
      </c>
      <c r="H26" s="10">
        <f t="shared" si="5"/>
        <v>0</v>
      </c>
      <c r="I26" s="8">
        <f t="shared" si="3"/>
        <v>66</v>
      </c>
      <c r="J26" s="4">
        <v>66</v>
      </c>
      <c r="K26" s="5"/>
      <c r="L26" s="5"/>
      <c r="M26" s="6"/>
      <c r="O26" s="39"/>
      <c r="S26" s="59"/>
      <c r="T26" s="60"/>
      <c r="U26" s="60"/>
      <c r="V26" s="60"/>
      <c r="W26" s="60"/>
      <c r="X26" s="60"/>
      <c r="Y26" s="60"/>
      <c r="Z26" s="60"/>
      <c r="AA26" s="60"/>
      <c r="AB26" s="61"/>
    </row>
    <row r="27" spans="1:28" ht="15.75">
      <c r="A27" s="9" t="s">
        <v>119</v>
      </c>
      <c r="B27" s="3" t="s">
        <v>120</v>
      </c>
      <c r="C27" s="10">
        <f t="shared" si="6"/>
        <v>0</v>
      </c>
      <c r="D27" s="8">
        <f t="shared" si="2"/>
        <v>23</v>
      </c>
      <c r="E27" s="4">
        <v>23</v>
      </c>
      <c r="F27" s="9" t="s">
        <v>121</v>
      </c>
      <c r="G27" s="3" t="s">
        <v>122</v>
      </c>
      <c r="H27" s="10">
        <f t="shared" si="5"/>
        <v>0</v>
      </c>
      <c r="I27" s="8">
        <f t="shared" si="3"/>
        <v>426</v>
      </c>
      <c r="J27" s="4">
        <v>426</v>
      </c>
      <c r="K27" s="5"/>
      <c r="L27" s="5"/>
      <c r="M27" s="6"/>
      <c r="O27" s="39"/>
      <c r="S27" s="59"/>
      <c r="T27" s="60"/>
      <c r="U27" s="60"/>
      <c r="V27" s="60"/>
      <c r="W27" s="60"/>
      <c r="X27" s="60"/>
      <c r="Y27" s="60"/>
      <c r="Z27" s="60"/>
      <c r="AA27" s="60"/>
      <c r="AB27" s="61"/>
    </row>
    <row r="28" spans="1:28" ht="15.75">
      <c r="A28" s="9" t="s">
        <v>123</v>
      </c>
      <c r="B28" s="3" t="s">
        <v>124</v>
      </c>
      <c r="C28" s="10">
        <f t="shared" si="6"/>
        <v>0</v>
      </c>
      <c r="D28" s="8">
        <f t="shared" si="2"/>
        <v>5</v>
      </c>
      <c r="E28" s="4">
        <v>5</v>
      </c>
      <c r="F28" s="9" t="s">
        <v>125</v>
      </c>
      <c r="G28" s="3" t="s">
        <v>126</v>
      </c>
      <c r="H28" s="10">
        <f t="shared" si="5"/>
        <v>0</v>
      </c>
      <c r="I28" s="8">
        <f t="shared" si="3"/>
        <v>99</v>
      </c>
      <c r="J28" s="4">
        <v>99</v>
      </c>
      <c r="K28" s="5"/>
      <c r="L28" s="5"/>
      <c r="M28" s="6"/>
      <c r="O28" s="39"/>
      <c r="S28" s="59"/>
      <c r="T28" s="60"/>
      <c r="U28" s="60"/>
      <c r="V28" s="60"/>
      <c r="W28" s="60"/>
      <c r="X28" s="60"/>
      <c r="Y28" s="60"/>
      <c r="Z28" s="60"/>
      <c r="AA28" s="60"/>
      <c r="AB28" s="61"/>
    </row>
    <row r="29" spans="1:28" ht="15.75">
      <c r="A29" s="9" t="s">
        <v>127</v>
      </c>
      <c r="B29" s="3" t="s">
        <v>128</v>
      </c>
      <c r="C29" s="10">
        <f t="shared" si="6"/>
        <v>0</v>
      </c>
      <c r="D29" s="8">
        <f t="shared" si="2"/>
        <v>12</v>
      </c>
      <c r="E29" s="4">
        <v>12</v>
      </c>
      <c r="F29" s="9" t="s">
        <v>129</v>
      </c>
      <c r="G29" s="3" t="s">
        <v>130</v>
      </c>
      <c r="H29" s="10">
        <f t="shared" si="5"/>
        <v>0</v>
      </c>
      <c r="I29" s="8">
        <f t="shared" si="3"/>
        <v>70</v>
      </c>
      <c r="J29" s="4">
        <v>70</v>
      </c>
      <c r="K29" s="5"/>
      <c r="L29" s="5"/>
      <c r="M29" s="6"/>
      <c r="O29" s="39"/>
      <c r="S29" s="59"/>
      <c r="T29" s="60"/>
      <c r="U29" s="60"/>
      <c r="V29" s="60"/>
      <c r="W29" s="60"/>
      <c r="X29" s="60"/>
      <c r="Y29" s="60"/>
      <c r="Z29" s="60"/>
      <c r="AA29" s="60"/>
      <c r="AB29" s="61"/>
    </row>
    <row r="30" spans="1:28" ht="15.75">
      <c r="A30" s="9" t="s">
        <v>131</v>
      </c>
      <c r="B30" s="3" t="s">
        <v>132</v>
      </c>
      <c r="C30" s="10">
        <f t="shared" si="6"/>
        <v>0</v>
      </c>
      <c r="D30" s="8">
        <f t="shared" si="2"/>
        <v>5</v>
      </c>
      <c r="E30" s="4">
        <v>5</v>
      </c>
      <c r="F30" s="9" t="s">
        <v>133</v>
      </c>
      <c r="G30" s="3" t="s">
        <v>134</v>
      </c>
      <c r="H30" s="10">
        <f t="shared" si="5"/>
        <v>0</v>
      </c>
      <c r="I30" s="8">
        <f t="shared" si="3"/>
        <v>37</v>
      </c>
      <c r="J30" s="4">
        <v>37</v>
      </c>
      <c r="K30" s="5"/>
      <c r="L30" s="5"/>
      <c r="M30" s="6"/>
      <c r="O30" s="39"/>
      <c r="S30" s="59"/>
      <c r="T30" s="60"/>
      <c r="U30" s="60"/>
      <c r="V30" s="60"/>
      <c r="W30" s="60"/>
      <c r="X30" s="60"/>
      <c r="Y30" s="60"/>
      <c r="Z30" s="60"/>
      <c r="AA30" s="60"/>
      <c r="AB30" s="61"/>
    </row>
    <row r="31" spans="1:28" ht="15.75">
      <c r="A31" s="9" t="s">
        <v>135</v>
      </c>
      <c r="B31" s="3" t="s">
        <v>136</v>
      </c>
      <c r="C31" s="10">
        <f t="shared" si="6"/>
        <v>0</v>
      </c>
      <c r="D31" s="8">
        <f t="shared" si="2"/>
        <v>8</v>
      </c>
      <c r="E31" s="4">
        <v>8</v>
      </c>
      <c r="F31" s="9" t="s">
        <v>137</v>
      </c>
      <c r="G31" s="3" t="s">
        <v>138</v>
      </c>
      <c r="H31" s="10">
        <f t="shared" si="5"/>
        <v>0</v>
      </c>
      <c r="I31" s="8">
        <f t="shared" si="3"/>
        <v>175</v>
      </c>
      <c r="J31" s="4">
        <v>175</v>
      </c>
      <c r="K31" s="5"/>
      <c r="L31" s="5"/>
      <c r="M31" s="6"/>
      <c r="O31" s="39"/>
      <c r="S31" s="59"/>
      <c r="T31" s="60"/>
      <c r="U31" s="60"/>
      <c r="V31" s="60"/>
      <c r="W31" s="60"/>
      <c r="X31" s="60"/>
      <c r="Y31" s="60"/>
      <c r="Z31" s="60"/>
      <c r="AA31" s="60"/>
      <c r="AB31" s="61"/>
    </row>
    <row r="32" spans="1:28" ht="15.75">
      <c r="A32" s="9" t="s">
        <v>139</v>
      </c>
      <c r="B32" s="3" t="s">
        <v>140</v>
      </c>
      <c r="C32" s="10">
        <f t="shared" si="6"/>
        <v>0</v>
      </c>
      <c r="D32" s="8">
        <f t="shared" si="2"/>
        <v>6</v>
      </c>
      <c r="E32" s="4">
        <v>6</v>
      </c>
      <c r="F32" s="9" t="s">
        <v>141</v>
      </c>
      <c r="G32" s="3" t="s">
        <v>142</v>
      </c>
      <c r="H32" s="10">
        <f t="shared" si="5"/>
        <v>0</v>
      </c>
      <c r="I32" s="8">
        <f t="shared" si="3"/>
        <v>3</v>
      </c>
      <c r="J32" s="4">
        <v>3</v>
      </c>
      <c r="K32" s="5"/>
      <c r="L32" s="5"/>
      <c r="M32" s="6"/>
      <c r="O32" s="39"/>
      <c r="S32" s="59"/>
      <c r="T32" s="60"/>
      <c r="U32" s="60"/>
      <c r="V32" s="60"/>
      <c r="W32" s="60"/>
      <c r="X32" s="60"/>
      <c r="Y32" s="60"/>
      <c r="Z32" s="60"/>
      <c r="AA32" s="60"/>
      <c r="AB32" s="61"/>
    </row>
    <row r="33" spans="1:28" ht="15.75">
      <c r="A33" s="9" t="s">
        <v>143</v>
      </c>
      <c r="B33" s="3" t="s">
        <v>144</v>
      </c>
      <c r="C33" s="10">
        <f t="shared" si="6"/>
        <v>0</v>
      </c>
      <c r="D33" s="8">
        <f t="shared" si="2"/>
        <v>99</v>
      </c>
      <c r="E33" s="4">
        <v>99</v>
      </c>
      <c r="F33" s="9" t="s">
        <v>145</v>
      </c>
      <c r="G33" s="3" t="s">
        <v>146</v>
      </c>
      <c r="H33" s="10">
        <f t="shared" si="5"/>
        <v>0</v>
      </c>
      <c r="I33" s="8">
        <f t="shared" si="3"/>
        <v>92</v>
      </c>
      <c r="J33" s="4">
        <v>92</v>
      </c>
      <c r="K33" s="5"/>
      <c r="L33" s="5"/>
      <c r="M33" s="6"/>
      <c r="O33" s="39"/>
      <c r="S33" s="59"/>
      <c r="T33" s="60"/>
      <c r="U33" s="60"/>
      <c r="V33" s="60"/>
      <c r="W33" s="60"/>
      <c r="X33" s="60"/>
      <c r="Y33" s="60"/>
      <c r="Z33" s="60"/>
      <c r="AA33" s="60"/>
      <c r="AB33" s="61"/>
    </row>
    <row r="34" spans="1:28" ht="15.75">
      <c r="A34" s="9" t="s">
        <v>147</v>
      </c>
      <c r="B34" s="3" t="s">
        <v>148</v>
      </c>
      <c r="C34" s="10">
        <f t="shared" si="6"/>
        <v>0</v>
      </c>
      <c r="D34" s="8">
        <f t="shared" si="2"/>
        <v>25</v>
      </c>
      <c r="E34" s="4">
        <v>25</v>
      </c>
      <c r="F34" s="9" t="s">
        <v>149</v>
      </c>
      <c r="G34" s="3" t="s">
        <v>150</v>
      </c>
      <c r="H34" s="10">
        <f t="shared" si="5"/>
        <v>0</v>
      </c>
      <c r="I34" s="8">
        <f t="shared" si="3"/>
        <v>150</v>
      </c>
      <c r="J34" s="4">
        <v>150</v>
      </c>
      <c r="K34" s="5" t="s">
        <v>70</v>
      </c>
      <c r="L34" s="5"/>
      <c r="M34" s="6"/>
      <c r="O34" s="39"/>
      <c r="S34" s="59"/>
      <c r="T34" s="60"/>
      <c r="U34" s="60"/>
      <c r="V34" s="60"/>
      <c r="W34" s="60"/>
      <c r="X34" s="60"/>
      <c r="Y34" s="60"/>
      <c r="Z34" s="60"/>
      <c r="AA34" s="60"/>
      <c r="AB34" s="61"/>
    </row>
    <row r="35" spans="1:28" ht="15.75">
      <c r="A35" s="9" t="s">
        <v>151</v>
      </c>
      <c r="B35" s="3" t="s">
        <v>152</v>
      </c>
      <c r="C35" s="10">
        <f t="shared" si="6"/>
        <v>0</v>
      </c>
      <c r="D35" s="8">
        <f t="shared" si="2"/>
        <v>24</v>
      </c>
      <c r="E35" s="4">
        <v>24</v>
      </c>
      <c r="F35" s="9" t="s">
        <v>153</v>
      </c>
      <c r="G35" s="3" t="s">
        <v>154</v>
      </c>
      <c r="H35" s="10">
        <f t="shared" si="5"/>
        <v>0</v>
      </c>
      <c r="I35" s="8">
        <f t="shared" si="3"/>
        <v>142</v>
      </c>
      <c r="J35" s="4">
        <v>142</v>
      </c>
      <c r="K35" s="5"/>
      <c r="L35" s="5"/>
      <c r="M35" s="6"/>
      <c r="O35" s="39"/>
      <c r="S35" s="59"/>
      <c r="T35" s="60"/>
      <c r="U35" s="60"/>
      <c r="V35" s="60"/>
      <c r="W35" s="60"/>
      <c r="X35" s="60"/>
      <c r="Y35" s="60"/>
      <c r="Z35" s="60"/>
      <c r="AA35" s="60"/>
      <c r="AB35" s="61"/>
    </row>
    <row r="36" spans="1:28" ht="15.75">
      <c r="A36" s="11">
        <v>46507</v>
      </c>
      <c r="B36" s="12" t="s">
        <v>155</v>
      </c>
      <c r="C36" s="10">
        <f t="shared" si="6"/>
        <v>0</v>
      </c>
      <c r="D36" s="8">
        <f t="shared" si="2"/>
        <v>24</v>
      </c>
      <c r="E36" s="4">
        <v>24</v>
      </c>
      <c r="F36" s="13">
        <v>46303</v>
      </c>
      <c r="G36" s="3" t="s">
        <v>156</v>
      </c>
      <c r="H36" s="10">
        <v>0</v>
      </c>
      <c r="I36" s="8">
        <f t="shared" si="3"/>
        <v>1314</v>
      </c>
      <c r="J36" s="4">
        <v>1314</v>
      </c>
      <c r="K36" s="5"/>
      <c r="L36" s="5"/>
      <c r="M36" s="6"/>
      <c r="O36" s="39"/>
      <c r="S36" s="62"/>
      <c r="T36" s="63"/>
      <c r="U36" s="63"/>
      <c r="V36" s="63"/>
      <c r="W36" s="63"/>
      <c r="X36" s="63"/>
      <c r="Y36" s="63"/>
      <c r="Z36" s="63"/>
      <c r="AA36" s="63"/>
      <c r="AB36" s="64"/>
    </row>
    <row r="37" spans="1:28" ht="15.75">
      <c r="B37" s="48" t="s">
        <v>193</v>
      </c>
      <c r="C37" s="49">
        <f t="shared" si="6"/>
        <v>0</v>
      </c>
      <c r="D37" s="31">
        <f t="shared" si="2"/>
        <v>16</v>
      </c>
      <c r="E37" s="34">
        <v>16</v>
      </c>
      <c r="F37" s="35"/>
      <c r="G37" s="48" t="s">
        <v>193</v>
      </c>
      <c r="H37" s="36"/>
      <c r="I37" s="31">
        <f t="shared" si="3"/>
        <v>50</v>
      </c>
      <c r="J37" s="34">
        <v>50</v>
      </c>
    </row>
    <row r="41" spans="1:28">
      <c r="E41" s="55" t="s">
        <v>157</v>
      </c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</row>
    <row r="42" spans="1:28"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</row>
    <row r="43" spans="1:28"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</row>
  </sheetData>
  <sheetProtection selectLockedCells="1" selectUnlockedCells="1"/>
  <mergeCells count="7">
    <mergeCell ref="E41:S43"/>
    <mergeCell ref="S3:AB36"/>
    <mergeCell ref="A1:XFD1"/>
    <mergeCell ref="S2:AB2"/>
    <mergeCell ref="A3:B3"/>
    <mergeCell ref="F3:G3"/>
    <mergeCell ref="K3:L3"/>
  </mergeCells>
  <conditionalFormatting sqref="C4:C37">
    <cfRule type="cellIs" dxfId="20" priority="3" operator="greaterThan">
      <formula>0</formula>
    </cfRule>
  </conditionalFormatting>
  <conditionalFormatting sqref="E4:E36">
    <cfRule type="cellIs" dxfId="19" priority="6" operator="lessThan">
      <formula>30</formula>
    </cfRule>
  </conditionalFormatting>
  <conditionalFormatting sqref="H4:H36">
    <cfRule type="cellIs" dxfId="18" priority="2" operator="greaterThan">
      <formula>0</formula>
    </cfRule>
  </conditionalFormatting>
  <conditionalFormatting sqref="J4:J36">
    <cfRule type="cellIs" dxfId="17" priority="5" operator="lessThan">
      <formula>30</formula>
    </cfRule>
  </conditionalFormatting>
  <conditionalFormatting sqref="M4:M18">
    <cfRule type="cellIs" dxfId="16" priority="1" operator="greaterThan">
      <formula>0</formula>
    </cfRule>
  </conditionalFormatting>
  <conditionalFormatting sqref="O4:O19">
    <cfRule type="cellIs" dxfId="15" priority="4" operator="lessThan">
      <formula>30</formula>
    </cfRule>
  </conditionalFormatting>
  <pageMargins left="0.7" right="0.7" top="0.75" bottom="0.75" header="0.3" footer="0.3"/>
  <pageSetup paperSize="9" scale="68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ww">
                <anchor moveWithCells="1" sizeWithCells="1">
                  <from>
                    <xdr:col>10</xdr:col>
                    <xdr:colOff>171450</xdr:colOff>
                    <xdr:row>19</xdr:row>
                    <xdr:rowOff>9525</xdr:rowOff>
                  </from>
                  <to>
                    <xdr:col>15</xdr:col>
                    <xdr:colOff>9525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1:P32"/>
  <sheetViews>
    <sheetView workbookViewId="0">
      <selection activeCell="M27" sqref="M27"/>
    </sheetView>
  </sheetViews>
  <sheetFormatPr defaultColWidth="11.42578125" defaultRowHeight="15"/>
  <cols>
    <col min="1" max="1" width="13.7109375" customWidth="1"/>
    <col min="2" max="2" width="4" customWidth="1"/>
    <col min="3" max="3" width="5.42578125" customWidth="1"/>
    <col min="4" max="4" width="9.85546875" customWidth="1"/>
    <col min="5" max="5" width="8.28515625" customWidth="1"/>
    <col min="6" max="6" width="2.42578125" customWidth="1"/>
    <col min="7" max="7" width="4.7109375" customWidth="1"/>
    <col min="8" max="8" width="6.7109375" customWidth="1"/>
    <col min="9" max="9" width="8.28515625" customWidth="1"/>
    <col min="10" max="10" width="3.140625" customWidth="1"/>
    <col min="11" max="11" width="4.140625" customWidth="1"/>
    <col min="12" max="12" width="11.140625" customWidth="1"/>
    <col min="13" max="13" width="8.42578125" customWidth="1"/>
    <col min="19" max="19" width="4.42578125" customWidth="1"/>
    <col min="20" max="20" width="4.85546875" customWidth="1"/>
  </cols>
  <sheetData>
    <row r="1" spans="1:16" ht="21.95" customHeight="1">
      <c r="A1" s="71" t="s">
        <v>158</v>
      </c>
      <c r="B1" s="71"/>
      <c r="C1" s="71"/>
      <c r="D1" s="71"/>
      <c r="E1" s="71"/>
      <c r="F1" s="71"/>
      <c r="G1" s="71"/>
      <c r="H1" s="18"/>
      <c r="I1" s="71" t="s">
        <v>159</v>
      </c>
      <c r="J1" s="71"/>
      <c r="K1" s="71"/>
      <c r="L1" s="71"/>
      <c r="M1" s="71"/>
      <c r="N1" s="71"/>
      <c r="O1" s="71"/>
      <c r="P1" s="71"/>
    </row>
    <row r="2" spans="1:16" ht="51.95" customHeight="1">
      <c r="A2" s="72"/>
      <c r="B2" s="72"/>
      <c r="C2" s="72"/>
      <c r="D2" s="72"/>
      <c r="E2" s="72"/>
      <c r="F2" s="72"/>
      <c r="G2" s="72"/>
      <c r="H2" s="19"/>
      <c r="I2" s="73" t="s">
        <v>160</v>
      </c>
      <c r="J2" s="72"/>
      <c r="K2" s="72"/>
      <c r="L2" s="72"/>
      <c r="M2" s="72"/>
      <c r="N2" s="72"/>
      <c r="O2" s="72"/>
      <c r="P2" s="72"/>
    </row>
    <row r="3" spans="1:16" ht="24.95" customHeight="1"/>
    <row r="4" spans="1:16" s="17" customFormat="1" ht="23.1" customHeight="1">
      <c r="A4" s="70" t="s">
        <v>161</v>
      </c>
      <c r="B4" s="70"/>
      <c r="C4" s="27">
        <f>SUM(C5:C13)</f>
        <v>0</v>
      </c>
      <c r="D4" s="29" t="s">
        <v>162</v>
      </c>
      <c r="E4"/>
      <c r="F4"/>
      <c r="G4"/>
      <c r="H4" s="23"/>
      <c r="I4" s="70" t="s">
        <v>163</v>
      </c>
      <c r="J4" s="70"/>
      <c r="K4" s="27">
        <f>SUM(K5:K13)</f>
        <v>0</v>
      </c>
      <c r="L4" s="29" t="s">
        <v>162</v>
      </c>
      <c r="M4" s="30"/>
    </row>
    <row r="5" spans="1:16">
      <c r="A5" s="9" t="s">
        <v>164</v>
      </c>
      <c r="B5" s="3">
        <v>0</v>
      </c>
      <c r="C5" s="24">
        <f t="shared" ref="C5:C10" si="0">SUMPRODUCT(LEN($A$2)-LEN(SUBSTITUTE($A$2,B5,"")))</f>
        <v>0</v>
      </c>
      <c r="D5" s="1"/>
      <c r="H5" s="5"/>
      <c r="I5" s="9" t="s">
        <v>165</v>
      </c>
      <c r="J5" s="3">
        <v>0</v>
      </c>
      <c r="K5" s="24">
        <f t="shared" ref="K5:K10" si="1">SUMPRODUCT(LEN($I$2)-LEN(SUBSTITUTE($I$2,J5,"")))</f>
        <v>0</v>
      </c>
      <c r="L5" s="1"/>
    </row>
    <row r="6" spans="1:16">
      <c r="A6" s="9" t="s">
        <v>166</v>
      </c>
      <c r="B6" s="3">
        <v>1</v>
      </c>
      <c r="C6" s="24">
        <f t="shared" si="0"/>
        <v>0</v>
      </c>
      <c r="D6" s="1"/>
      <c r="H6" s="5"/>
      <c r="I6" s="9" t="s">
        <v>167</v>
      </c>
      <c r="J6" s="3">
        <v>1</v>
      </c>
      <c r="K6" s="24">
        <f t="shared" si="1"/>
        <v>0</v>
      </c>
      <c r="L6" s="1"/>
    </row>
    <row r="7" spans="1:16">
      <c r="A7" s="9" t="s">
        <v>168</v>
      </c>
      <c r="B7" s="3">
        <v>2</v>
      </c>
      <c r="C7" s="24">
        <f t="shared" si="0"/>
        <v>0</v>
      </c>
      <c r="D7" s="1"/>
      <c r="H7" s="5"/>
      <c r="I7" s="9" t="s">
        <v>169</v>
      </c>
      <c r="J7" s="3">
        <v>2</v>
      </c>
      <c r="K7" s="24">
        <f t="shared" si="1"/>
        <v>0</v>
      </c>
      <c r="L7" s="1"/>
    </row>
    <row r="8" spans="1:16">
      <c r="A8" s="9" t="s">
        <v>170</v>
      </c>
      <c r="B8" s="3">
        <v>3</v>
      </c>
      <c r="C8" s="24">
        <f t="shared" si="0"/>
        <v>0</v>
      </c>
      <c r="D8" s="1"/>
      <c r="H8" s="5"/>
      <c r="I8" s="9" t="s">
        <v>171</v>
      </c>
      <c r="J8" s="3">
        <v>3</v>
      </c>
      <c r="K8" s="24">
        <f t="shared" si="1"/>
        <v>0</v>
      </c>
      <c r="L8" s="1"/>
    </row>
    <row r="9" spans="1:16">
      <c r="A9" s="9" t="s">
        <v>172</v>
      </c>
      <c r="B9" s="3">
        <v>4</v>
      </c>
      <c r="C9" s="24">
        <f t="shared" si="0"/>
        <v>0</v>
      </c>
      <c r="D9" s="1"/>
      <c r="H9" s="5"/>
      <c r="I9" s="9" t="s">
        <v>173</v>
      </c>
      <c r="J9" s="3">
        <v>4</v>
      </c>
      <c r="K9" s="24">
        <f t="shared" si="1"/>
        <v>0</v>
      </c>
      <c r="L9" s="1"/>
    </row>
    <row r="10" spans="1:16">
      <c r="A10" s="9" t="s">
        <v>174</v>
      </c>
      <c r="B10" s="3">
        <v>5</v>
      </c>
      <c r="C10" s="24">
        <f t="shared" si="0"/>
        <v>0</v>
      </c>
      <c r="D10" s="1"/>
      <c r="H10" s="5"/>
      <c r="I10" s="9" t="s">
        <v>175</v>
      </c>
      <c r="J10" s="3">
        <v>5</v>
      </c>
      <c r="K10" s="24">
        <f t="shared" si="1"/>
        <v>0</v>
      </c>
      <c r="L10" s="1"/>
    </row>
    <row r="11" spans="1:16">
      <c r="A11" s="9" t="s">
        <v>176</v>
      </c>
      <c r="B11" s="3">
        <v>6</v>
      </c>
      <c r="C11" s="24">
        <f>SUMPRODUCT(LEN($A$2)-LEN(SUBSTITUTE($A$2,6,"")))+SUMPRODUCT(LEN($A$2)-LEN(SUBSTITUTE($A$2,9,"")))</f>
        <v>0</v>
      </c>
      <c r="D11" s="1"/>
      <c r="H11" s="5"/>
      <c r="I11" s="9" t="s">
        <v>177</v>
      </c>
      <c r="J11" s="3">
        <v>6</v>
      </c>
      <c r="K11" s="24">
        <f>SUMPRODUCT(LEN($I$2)-LEN(SUBSTITUTE($I$2,J11,"")))+SUMPRODUCT(LEN($I$2)-LEN(SUBSTITUTE($I$2,9,"")))</f>
        <v>0</v>
      </c>
      <c r="L11" s="1"/>
    </row>
    <row r="12" spans="1:16">
      <c r="A12" s="9" t="s">
        <v>178</v>
      </c>
      <c r="B12" s="3">
        <v>7</v>
      </c>
      <c r="C12" s="24">
        <f>SUMPRODUCT(LEN($A$2)-LEN(SUBSTITUTE($A$2,B12,"")))</f>
        <v>0</v>
      </c>
      <c r="D12" s="1"/>
      <c r="H12" s="5"/>
      <c r="I12" s="9" t="s">
        <v>179</v>
      </c>
      <c r="J12" s="3">
        <v>7</v>
      </c>
      <c r="K12" s="24">
        <f>SUMPRODUCT(LEN($I$2)-LEN(SUBSTITUTE($I$2,J12,"")))</f>
        <v>0</v>
      </c>
      <c r="L12" s="1"/>
    </row>
    <row r="13" spans="1:16">
      <c r="A13" s="9" t="s">
        <v>180</v>
      </c>
      <c r="B13" s="3">
        <v>8</v>
      </c>
      <c r="C13" s="24">
        <f>SUMPRODUCT(LEN($A$2)-LEN(SUBSTITUTE($A$2,B13,"")))</f>
        <v>0</v>
      </c>
      <c r="D13" s="1"/>
      <c r="H13" s="5"/>
      <c r="I13" s="9" t="s">
        <v>181</v>
      </c>
      <c r="J13" s="3">
        <v>8</v>
      </c>
      <c r="K13" s="24">
        <f>SUMPRODUCT(LEN($I$2)-LEN(SUBSTITUTE($I$2,J13,"")))</f>
        <v>0</v>
      </c>
      <c r="L13" s="1"/>
    </row>
    <row r="14" spans="1:16">
      <c r="A14" s="9" t="s">
        <v>48</v>
      </c>
      <c r="B14" s="3" t="s">
        <v>64</v>
      </c>
      <c r="C14" s="24">
        <f>SUMPRODUCT(LEN($A$2)-LEN(SUBSTITUTE($A$2,B14,"")))</f>
        <v>0</v>
      </c>
      <c r="D14" s="1"/>
      <c r="H14" s="5"/>
      <c r="I14" s="9" t="s">
        <v>48</v>
      </c>
      <c r="J14" s="3" t="s">
        <v>64</v>
      </c>
      <c r="K14" s="24">
        <f>SUMPRODUCT(LEN($I$2)-LEN(SUBSTITUTE($I$2,J14,"")))</f>
        <v>0</v>
      </c>
      <c r="L14" s="1"/>
    </row>
    <row r="15" spans="1:16">
      <c r="A15" s="9" t="s">
        <v>58</v>
      </c>
      <c r="B15" s="3" t="s">
        <v>75</v>
      </c>
      <c r="C15" s="24">
        <f>SUMPRODUCT(LEN($A$2)-LEN(SUBSTITUTE($A$2,B15,"")))</f>
        <v>0</v>
      </c>
      <c r="D15" s="1"/>
      <c r="H15" s="5"/>
      <c r="I15" s="9" t="s">
        <v>58</v>
      </c>
      <c r="J15" s="3" t="s">
        <v>75</v>
      </c>
      <c r="K15" s="24">
        <f>SUMPRODUCT(LEN($I$2)-LEN(SUBSTITUTE($I$2,J15,"")))</f>
        <v>0</v>
      </c>
      <c r="L15" s="1"/>
    </row>
    <row r="16" spans="1:16">
      <c r="H16" s="5"/>
    </row>
    <row r="17" spans="8:11">
      <c r="H17" s="5"/>
    </row>
    <row r="18" spans="8:11">
      <c r="H18" s="5"/>
      <c r="I18" s="5"/>
      <c r="J18" s="5"/>
      <c r="K18" s="6"/>
    </row>
    <row r="19" spans="8:11">
      <c r="H19" s="5"/>
      <c r="I19" s="5"/>
      <c r="J19" s="5"/>
      <c r="K19" s="6"/>
    </row>
    <row r="20" spans="8:11">
      <c r="H20" s="5"/>
      <c r="I20" s="5"/>
      <c r="J20" s="5"/>
      <c r="K20" s="6"/>
    </row>
    <row r="21" spans="8:11">
      <c r="H21" s="5"/>
      <c r="I21" s="5"/>
      <c r="J21" s="5"/>
      <c r="K21" s="6"/>
    </row>
    <row r="22" spans="8:11">
      <c r="H22" s="5"/>
      <c r="I22" s="5"/>
      <c r="J22" s="5"/>
      <c r="K22" s="6"/>
    </row>
    <row r="23" spans="8:11">
      <c r="H23" s="5"/>
      <c r="I23" s="5"/>
      <c r="J23" s="5"/>
      <c r="K23" s="6"/>
    </row>
    <row r="24" spans="8:11">
      <c r="H24" s="5"/>
      <c r="I24" s="5"/>
      <c r="J24" s="5"/>
      <c r="K24" s="6"/>
    </row>
    <row r="25" spans="8:11">
      <c r="H25" s="5"/>
      <c r="I25" s="5"/>
      <c r="J25" s="5"/>
      <c r="K25" s="6"/>
    </row>
    <row r="26" spans="8:11">
      <c r="H26" s="5"/>
      <c r="I26" s="5"/>
      <c r="J26" s="5"/>
      <c r="K26" s="6"/>
    </row>
    <row r="27" spans="8:11">
      <c r="H27" s="5"/>
      <c r="I27" s="5"/>
      <c r="J27" s="5"/>
      <c r="K27" s="6"/>
    </row>
    <row r="28" spans="8:11">
      <c r="H28" s="5"/>
      <c r="I28" s="5"/>
      <c r="J28" s="5"/>
      <c r="K28" s="6"/>
    </row>
    <row r="29" spans="8:11">
      <c r="H29" s="5"/>
      <c r="I29" s="5"/>
      <c r="J29" s="5"/>
      <c r="K29" s="6"/>
    </row>
    <row r="30" spans="8:11">
      <c r="H30" s="5"/>
      <c r="I30" s="5"/>
      <c r="J30" s="5"/>
      <c r="K30" s="6"/>
    </row>
    <row r="31" spans="8:11">
      <c r="H31" s="5"/>
      <c r="I31" s="5"/>
      <c r="J31" s="5"/>
      <c r="K31" s="6"/>
    </row>
    <row r="32" spans="8:11">
      <c r="H32" s="5"/>
      <c r="I32" s="5"/>
      <c r="J32" s="5"/>
      <c r="K32" s="6"/>
    </row>
  </sheetData>
  <mergeCells count="6">
    <mergeCell ref="A1:G1"/>
    <mergeCell ref="I1:P1"/>
    <mergeCell ref="A2:G2"/>
    <mergeCell ref="I2:P2"/>
    <mergeCell ref="A4:B4"/>
    <mergeCell ref="I4:J4"/>
  </mergeCells>
  <conditionalFormatting sqref="A2:P2">
    <cfRule type="containsText" dxfId="14" priority="1" operator="containsText" text="пусто">
      <formula>NOT(ISERROR(SEARCH("пусто",A2)))</formula>
    </cfRule>
  </conditionalFormatting>
  <conditionalFormatting sqref="C5:C13">
    <cfRule type="cellIs" dxfId="13" priority="8" operator="greaterThan">
      <formula>0</formula>
    </cfRule>
  </conditionalFormatting>
  <conditionalFormatting sqref="C14:C15">
    <cfRule type="cellIs" dxfId="12" priority="3" operator="greaterThan">
      <formula>0</formula>
    </cfRule>
  </conditionalFormatting>
  <conditionalFormatting sqref="K5:K13">
    <cfRule type="cellIs" dxfId="11" priority="12" operator="greaterThan">
      <formula>0</formula>
    </cfRule>
  </conditionalFormatting>
  <conditionalFormatting sqref="K14:K15">
    <cfRule type="cellIs" dxfId="10" priority="2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M81"/>
  <sheetViews>
    <sheetView zoomScale="85" zoomScaleNormal="85" workbookViewId="0">
      <selection activeCell="L4" sqref="L4"/>
    </sheetView>
  </sheetViews>
  <sheetFormatPr defaultColWidth="11.42578125" defaultRowHeight="15"/>
  <cols>
    <col min="1" max="1" width="10.42578125" customWidth="1"/>
    <col min="2" max="2" width="5.85546875" customWidth="1"/>
    <col min="3" max="3" width="7.140625" customWidth="1"/>
    <col min="4" max="4" width="5.85546875" customWidth="1"/>
    <col min="5" max="5" width="12" customWidth="1"/>
    <col min="6" max="6" width="3.7109375" customWidth="1"/>
    <col min="7" max="7" width="3.140625" customWidth="1"/>
    <col min="8" max="8" width="4.140625" customWidth="1"/>
    <col min="9" max="9" width="2.7109375" customWidth="1"/>
    <col min="10" max="10" width="8.42578125" customWidth="1"/>
  </cols>
  <sheetData>
    <row r="1" spans="1:13" ht="51.95" customHeight="1">
      <c r="A1" s="19" t="str">
        <f>'Сirilico Romano'!A1</f>
        <v>СКЛАД БУКВ CAGGIATI</v>
      </c>
      <c r="B1" s="19"/>
      <c r="C1" s="19"/>
      <c r="D1" s="19"/>
      <c r="E1" s="19"/>
      <c r="F1" s="19"/>
      <c r="G1" s="19"/>
      <c r="H1" s="19"/>
      <c r="I1" s="19"/>
      <c r="J1" s="19"/>
      <c r="K1" s="28"/>
    </row>
    <row r="2" spans="1:13" ht="24.95" customHeight="1"/>
    <row r="3" spans="1:13" s="17" customFormat="1" ht="23.1" customHeight="1">
      <c r="A3" s="22" t="s">
        <v>182</v>
      </c>
      <c r="B3" s="22" t="s">
        <v>183</v>
      </c>
      <c r="C3" s="22" t="s">
        <v>184</v>
      </c>
      <c r="D3" s="23"/>
      <c r="E3" s="23"/>
      <c r="L3" s="25" t="s">
        <v>185</v>
      </c>
      <c r="M3" s="25" t="s">
        <v>186</v>
      </c>
    </row>
    <row r="4" spans="1:13">
      <c r="A4" s="9" t="s">
        <v>12</v>
      </c>
      <c r="B4" s="3" t="s">
        <v>13</v>
      </c>
      <c r="C4" s="26">
        <f>SUMPRODUCT(LEN($A$1)-LEN(SUBSTITUTE($A$1,B4,"")))</f>
        <v>1</v>
      </c>
      <c r="D4" s="79" t="s">
        <v>187</v>
      </c>
      <c r="E4" s="5"/>
      <c r="L4" t="str">
        <f t="array" ref="L4:L80">INDEX(A4:A81,SMALL(IF(IFERROR(1&lt;=C4:C81,0),ROW(C4:C81),""),ROW(C4:C81)-ROW($C$3))-ROW($C$3))</f>
        <v>00950/10</v>
      </c>
      <c r="M4">
        <f t="array" ref="M4:M80">INDEX(C4:C81,SMALL(IF(IFERROR(1&lt;=C4:C81,0),ROW(C4:C81),""),ROW(C4:C81)-ROW($C$3))-ROW($C$3))</f>
        <v>1</v>
      </c>
    </row>
    <row r="5" spans="1:13" ht="21.95" customHeight="1">
      <c r="A5" s="9" t="s">
        <v>17</v>
      </c>
      <c r="B5" s="3" t="s">
        <v>18</v>
      </c>
      <c r="C5" s="26">
        <f>SUMPRODUCT(LEN($A$1)-LEN(SUBSTITUTE($A$1,B5,"")))</f>
        <v>1</v>
      </c>
      <c r="D5" s="79"/>
      <c r="E5" s="69" t="s">
        <v>161</v>
      </c>
      <c r="F5" s="70"/>
      <c r="G5" s="27">
        <f>SUM(C4:C35)</f>
        <v>9</v>
      </c>
      <c r="J5" s="76">
        <f>SUM(G7,G6,G5)</f>
        <v>9</v>
      </c>
      <c r="L5" t="str">
        <v>00950/15</v>
      </c>
      <c r="M5">
        <v>1</v>
      </c>
    </row>
    <row r="6" spans="1:13" ht="15.75">
      <c r="A6" s="9" t="s">
        <v>22</v>
      </c>
      <c r="B6" s="3" t="s">
        <v>23</v>
      </c>
      <c r="C6" s="26">
        <f>SUMPRODUCT(LEN($A$1)-LEN(SUBSTITUTE($A$1,B6,"")))</f>
        <v>1</v>
      </c>
      <c r="D6" s="79"/>
      <c r="E6" s="69" t="s">
        <v>188</v>
      </c>
      <c r="F6" s="70"/>
      <c r="G6" s="27">
        <f>SUM(C36:C76)</f>
        <v>0</v>
      </c>
      <c r="J6" s="77"/>
      <c r="L6" t="str">
        <v>00950/11</v>
      </c>
      <c r="M6">
        <v>1</v>
      </c>
    </row>
    <row r="7" spans="1:13" ht="15.75">
      <c r="A7" s="9" t="s">
        <v>27</v>
      </c>
      <c r="B7" s="3" t="s">
        <v>28</v>
      </c>
      <c r="C7" s="26">
        <f>SUMPRODUCT(LEN($A$1)-LEN(SUBSTITUTE($A$1,B7,"")))</f>
        <v>0</v>
      </c>
      <c r="D7" s="79"/>
      <c r="E7" s="69" t="s">
        <v>189</v>
      </c>
      <c r="F7" s="70"/>
      <c r="G7" s="27">
        <f>SUM(C77:C81)</f>
        <v>0</v>
      </c>
      <c r="J7" s="78"/>
      <c r="L7" t="str">
        <v>00950/19</v>
      </c>
      <c r="M7">
        <v>1</v>
      </c>
    </row>
    <row r="8" spans="1:13">
      <c r="A8" s="9" t="s">
        <v>31</v>
      </c>
      <c r="B8" s="3" t="s">
        <v>32</v>
      </c>
      <c r="C8" s="26">
        <f>SUMPRODUCT(LEN($A$1)-LEN(SUBSTITUTE($A$1,B8,"")))</f>
        <v>1</v>
      </c>
      <c r="D8" s="79"/>
      <c r="E8" s="5"/>
      <c r="L8" t="str">
        <v>00950/31</v>
      </c>
      <c r="M8">
        <v>2</v>
      </c>
    </row>
    <row r="9" spans="1:13">
      <c r="A9" s="9" t="s">
        <v>36</v>
      </c>
      <c r="B9" s="3" t="s">
        <v>37</v>
      </c>
      <c r="C9" s="26">
        <f>(SUMPRODUCT(LEN($A$1)-LEN(SUBSTITUTE($A$1,B9,""))))+(SUMPRODUCT(LEN($A$1)-LEN(SUBSTITUTE($A$1,B10,""))))</f>
        <v>0</v>
      </c>
      <c r="D9" s="79"/>
      <c r="E9" s="5"/>
      <c r="L9" t="str">
        <v>00950/33</v>
      </c>
      <c r="M9">
        <v>1</v>
      </c>
    </row>
    <row r="10" spans="1:13">
      <c r="A10" s="9"/>
      <c r="B10" s="3" t="s">
        <v>41</v>
      </c>
      <c r="C10" s="26">
        <v>0</v>
      </c>
      <c r="D10" s="79"/>
      <c r="E10" s="5"/>
      <c r="L10" t="str">
        <v>00950/12</v>
      </c>
      <c r="M10">
        <v>1</v>
      </c>
    </row>
    <row r="11" spans="1:13">
      <c r="A11" s="9" t="s">
        <v>44</v>
      </c>
      <c r="B11" s="3" t="s">
        <v>45</v>
      </c>
      <c r="C11" s="26">
        <f>SUMPRODUCT(LEN($A$1)-LEN(SUBSTITUTE($A$1,B11,"")))</f>
        <v>0</v>
      </c>
      <c r="D11" s="79"/>
      <c r="E11" s="5"/>
      <c r="L11" t="str">
        <v>00950/44</v>
      </c>
      <c r="M11">
        <v>1</v>
      </c>
    </row>
    <row r="12" spans="1:13">
      <c r="A12" s="9" t="s">
        <v>49</v>
      </c>
      <c r="B12" s="3" t="s">
        <v>50</v>
      </c>
      <c r="C12" s="26">
        <f>SUMPRODUCT(LEN($A$1)-LEN(SUBSTITUTE($A$1,B12,"")))</f>
        <v>0</v>
      </c>
      <c r="D12" s="79"/>
      <c r="E12" s="5"/>
      <c r="L12" t="e">
        <v>#NUM!</v>
      </c>
      <c r="M12" t="e">
        <v>#NUM!</v>
      </c>
    </row>
    <row r="13" spans="1:13">
      <c r="A13" s="9" t="s">
        <v>54</v>
      </c>
      <c r="B13" s="3" t="s">
        <v>55</v>
      </c>
      <c r="C13" s="26">
        <f>(SUMPRODUCT(LEN($A$1)-LEN(SUBSTITUTE($A$1,B13,""))))+(SUMPRODUCT(LEN($A$1)-LEN(SUBSTITUTE($A$1,B80,""))))</f>
        <v>0</v>
      </c>
      <c r="D13" s="79"/>
      <c r="E13" s="5"/>
      <c r="L13" t="e">
        <v>#NUM!</v>
      </c>
      <c r="M13" t="e">
        <v>#NUM!</v>
      </c>
    </row>
    <row r="14" spans="1:13">
      <c r="A14" s="9" t="s">
        <v>59</v>
      </c>
      <c r="B14" s="3" t="s">
        <v>60</v>
      </c>
      <c r="C14" s="26">
        <f t="shared" ref="C14:C40" si="0">SUMPRODUCT(LEN($A$1)-LEN(SUBSTITUTE($A$1,B14,"")))</f>
        <v>2</v>
      </c>
      <c r="D14" s="79"/>
      <c r="E14" s="5"/>
      <c r="L14" t="e">
        <v>#NUM!</v>
      </c>
      <c r="M14" t="e">
        <v>#NUM!</v>
      </c>
    </row>
    <row r="15" spans="1:13">
      <c r="A15" s="9" t="s">
        <v>65</v>
      </c>
      <c r="B15" s="3" t="s">
        <v>66</v>
      </c>
      <c r="C15" s="26">
        <f t="shared" si="0"/>
        <v>1</v>
      </c>
      <c r="D15" s="79"/>
      <c r="E15" s="5"/>
      <c r="L15" t="e">
        <v>#NUM!</v>
      </c>
      <c r="M15" t="e">
        <v>#NUM!</v>
      </c>
    </row>
    <row r="16" spans="1:13">
      <c r="A16" s="9" t="s">
        <v>71</v>
      </c>
      <c r="B16" s="3" t="s">
        <v>72</v>
      </c>
      <c r="C16" s="26">
        <f t="shared" si="0"/>
        <v>0</v>
      </c>
      <c r="D16" s="79"/>
      <c r="E16" s="5"/>
      <c r="L16" t="e">
        <v>#NUM!</v>
      </c>
      <c r="M16" t="e">
        <v>#NUM!</v>
      </c>
    </row>
    <row r="17" spans="1:13">
      <c r="A17" s="9" t="s">
        <v>76</v>
      </c>
      <c r="B17" s="3" t="s">
        <v>77</v>
      </c>
      <c r="C17" s="26">
        <f t="shared" si="0"/>
        <v>0</v>
      </c>
      <c r="D17" s="79"/>
      <c r="E17" s="5"/>
      <c r="L17" t="e">
        <v>#NUM!</v>
      </c>
      <c r="M17" t="e">
        <v>#NUM!</v>
      </c>
    </row>
    <row r="18" spans="1:13">
      <c r="A18" s="9" t="s">
        <v>82</v>
      </c>
      <c r="B18" s="3" t="s">
        <v>83</v>
      </c>
      <c r="C18" s="26">
        <f t="shared" si="0"/>
        <v>0</v>
      </c>
      <c r="D18" s="79"/>
      <c r="E18" s="5"/>
      <c r="F18" s="5"/>
      <c r="G18" s="5"/>
      <c r="H18" s="6"/>
      <c r="L18" t="e">
        <v>#NUM!</v>
      </c>
      <c r="M18" t="e">
        <v>#NUM!</v>
      </c>
    </row>
    <row r="19" spans="1:13">
      <c r="A19" s="9" t="s">
        <v>87</v>
      </c>
      <c r="B19" s="3" t="s">
        <v>88</v>
      </c>
      <c r="C19" s="26">
        <f t="shared" si="0"/>
        <v>0</v>
      </c>
      <c r="D19" s="79"/>
      <c r="E19" s="5"/>
      <c r="F19" s="5"/>
      <c r="G19" s="5"/>
      <c r="H19" s="6"/>
      <c r="L19" t="e">
        <v>#NUM!</v>
      </c>
      <c r="M19" t="e">
        <v>#NUM!</v>
      </c>
    </row>
    <row r="20" spans="1:13">
      <c r="A20" s="9" t="s">
        <v>91</v>
      </c>
      <c r="B20" s="3" t="s">
        <v>92</v>
      </c>
      <c r="C20" s="26">
        <f t="shared" si="0"/>
        <v>0</v>
      </c>
      <c r="D20" s="79"/>
      <c r="E20" s="5"/>
      <c r="F20" s="5"/>
      <c r="G20" s="5"/>
      <c r="H20" s="6"/>
      <c r="L20" t="e">
        <v>#NUM!</v>
      </c>
      <c r="M20" t="e">
        <v>#NUM!</v>
      </c>
    </row>
    <row r="21" spans="1:13">
      <c r="A21" s="9" t="s">
        <v>95</v>
      </c>
      <c r="B21" s="3" t="s">
        <v>96</v>
      </c>
      <c r="C21" s="26">
        <f t="shared" si="0"/>
        <v>1</v>
      </c>
      <c r="D21" s="79"/>
      <c r="E21" s="5"/>
      <c r="F21" s="5"/>
      <c r="G21" s="5"/>
      <c r="H21" s="6"/>
      <c r="L21" t="e">
        <v>#NUM!</v>
      </c>
      <c r="M21" t="e">
        <v>#NUM!</v>
      </c>
    </row>
    <row r="22" spans="1:13">
      <c r="A22" s="9" t="s">
        <v>99</v>
      </c>
      <c r="B22" s="3" t="s">
        <v>100</v>
      </c>
      <c r="C22" s="26">
        <f t="shared" si="0"/>
        <v>0</v>
      </c>
      <c r="D22" s="79"/>
      <c r="E22" s="5"/>
      <c r="F22" s="5"/>
      <c r="G22" s="5"/>
      <c r="H22" s="6"/>
      <c r="L22" t="e">
        <v>#NUM!</v>
      </c>
      <c r="M22" t="e">
        <v>#NUM!</v>
      </c>
    </row>
    <row r="23" spans="1:13">
      <c r="A23" s="9" t="s">
        <v>103</v>
      </c>
      <c r="B23" s="3" t="s">
        <v>104</v>
      </c>
      <c r="C23" s="26">
        <f t="shared" si="0"/>
        <v>1</v>
      </c>
      <c r="D23" s="79"/>
      <c r="E23" s="5"/>
      <c r="F23" s="5"/>
      <c r="G23" s="5"/>
      <c r="H23" s="6"/>
      <c r="L23" t="e">
        <v>#NUM!</v>
      </c>
      <c r="M23" t="e">
        <v>#NUM!</v>
      </c>
    </row>
    <row r="24" spans="1:13">
      <c r="A24" s="9" t="s">
        <v>107</v>
      </c>
      <c r="B24" s="3" t="s">
        <v>108</v>
      </c>
      <c r="C24" s="26">
        <f t="shared" si="0"/>
        <v>0</v>
      </c>
      <c r="D24" s="79"/>
      <c r="E24" s="5"/>
      <c r="F24" s="5"/>
      <c r="G24" s="5"/>
      <c r="H24" s="6"/>
      <c r="L24" t="e">
        <v>#NUM!</v>
      </c>
      <c r="M24" t="e">
        <v>#NUM!</v>
      </c>
    </row>
    <row r="25" spans="1:13">
      <c r="A25" s="9" t="s">
        <v>111</v>
      </c>
      <c r="B25" s="3" t="s">
        <v>112</v>
      </c>
      <c r="C25" s="26">
        <f t="shared" si="0"/>
        <v>0</v>
      </c>
      <c r="D25" s="79"/>
      <c r="E25" s="5"/>
      <c r="F25" s="5"/>
      <c r="G25" s="5"/>
      <c r="H25" s="6"/>
      <c r="L25" t="e">
        <v>#NUM!</v>
      </c>
      <c r="M25" t="e">
        <v>#NUM!</v>
      </c>
    </row>
    <row r="26" spans="1:13">
      <c r="A26" s="9" t="s">
        <v>115</v>
      </c>
      <c r="B26" s="3" t="s">
        <v>116</v>
      </c>
      <c r="C26" s="26">
        <f t="shared" si="0"/>
        <v>0</v>
      </c>
      <c r="D26" s="79"/>
      <c r="E26" s="5"/>
      <c r="F26" s="5"/>
      <c r="G26" s="5"/>
      <c r="H26" s="6"/>
      <c r="L26" t="e">
        <v>#NUM!</v>
      </c>
      <c r="M26" t="e">
        <v>#NUM!</v>
      </c>
    </row>
    <row r="27" spans="1:13">
      <c r="A27" s="9" t="s">
        <v>119</v>
      </c>
      <c r="B27" s="3" t="s">
        <v>120</v>
      </c>
      <c r="C27" s="26">
        <f t="shared" si="0"/>
        <v>0</v>
      </c>
      <c r="D27" s="79"/>
      <c r="E27" s="5"/>
      <c r="F27" s="5"/>
      <c r="G27" s="5"/>
      <c r="H27" s="6"/>
      <c r="L27" t="e">
        <v>#NUM!</v>
      </c>
      <c r="M27" t="e">
        <v>#NUM!</v>
      </c>
    </row>
    <row r="28" spans="1:13">
      <c r="A28" s="9" t="s">
        <v>123</v>
      </c>
      <c r="B28" s="3" t="s">
        <v>124</v>
      </c>
      <c r="C28" s="26">
        <f t="shared" si="0"/>
        <v>0</v>
      </c>
      <c r="D28" s="79"/>
      <c r="E28" s="5"/>
      <c r="F28" s="5"/>
      <c r="G28" s="5"/>
      <c r="H28" s="6"/>
      <c r="L28" t="e">
        <v>#NUM!</v>
      </c>
      <c r="M28" t="e">
        <v>#NUM!</v>
      </c>
    </row>
    <row r="29" spans="1:13">
      <c r="A29" s="9" t="s">
        <v>127</v>
      </c>
      <c r="B29" s="3" t="s">
        <v>128</v>
      </c>
      <c r="C29" s="26">
        <f t="shared" si="0"/>
        <v>0</v>
      </c>
      <c r="D29" s="79"/>
      <c r="E29" s="5"/>
      <c r="F29" s="5"/>
      <c r="G29" s="5"/>
      <c r="H29" s="6"/>
      <c r="L29" t="e">
        <v>#NUM!</v>
      </c>
      <c r="M29" t="e">
        <v>#NUM!</v>
      </c>
    </row>
    <row r="30" spans="1:13">
      <c r="A30" s="9" t="s">
        <v>131</v>
      </c>
      <c r="B30" s="3" t="s">
        <v>132</v>
      </c>
      <c r="C30" s="26">
        <f t="shared" si="0"/>
        <v>0</v>
      </c>
      <c r="D30" s="79"/>
      <c r="E30" s="5"/>
      <c r="F30" s="5"/>
      <c r="G30" s="5"/>
      <c r="H30" s="6"/>
      <c r="L30" t="e">
        <v>#NUM!</v>
      </c>
      <c r="M30" t="e">
        <v>#NUM!</v>
      </c>
    </row>
    <row r="31" spans="1:13">
      <c r="A31" s="9" t="s">
        <v>135</v>
      </c>
      <c r="B31" s="3" t="s">
        <v>136</v>
      </c>
      <c r="C31" s="26">
        <f t="shared" si="0"/>
        <v>0</v>
      </c>
      <c r="D31" s="79"/>
      <c r="E31" s="5"/>
      <c r="F31" s="5"/>
      <c r="G31" s="5"/>
      <c r="H31" s="6"/>
      <c r="L31" t="e">
        <v>#NUM!</v>
      </c>
      <c r="M31" t="e">
        <v>#NUM!</v>
      </c>
    </row>
    <row r="32" spans="1:13">
      <c r="A32" s="9" t="s">
        <v>139</v>
      </c>
      <c r="B32" s="3" t="s">
        <v>140</v>
      </c>
      <c r="C32" s="26">
        <f t="shared" si="0"/>
        <v>0</v>
      </c>
      <c r="D32" s="79"/>
      <c r="E32" s="5"/>
      <c r="F32" s="5"/>
      <c r="G32" s="5"/>
      <c r="H32" s="6"/>
      <c r="L32" t="e">
        <v>#NUM!</v>
      </c>
      <c r="M32" t="e">
        <v>#NUM!</v>
      </c>
    </row>
    <row r="33" spans="1:13">
      <c r="A33" s="9" t="s">
        <v>143</v>
      </c>
      <c r="B33" s="3" t="s">
        <v>144</v>
      </c>
      <c r="C33" s="26">
        <f t="shared" si="0"/>
        <v>0</v>
      </c>
      <c r="D33" s="79"/>
      <c r="E33" s="5"/>
      <c r="F33" s="5"/>
      <c r="G33" s="5"/>
      <c r="H33" s="6"/>
      <c r="L33" t="e">
        <v>#NUM!</v>
      </c>
      <c r="M33" t="e">
        <v>#NUM!</v>
      </c>
    </row>
    <row r="34" spans="1:13">
      <c r="A34" s="9" t="s">
        <v>147</v>
      </c>
      <c r="B34" s="3" t="s">
        <v>148</v>
      </c>
      <c r="C34" s="26">
        <f t="shared" si="0"/>
        <v>0</v>
      </c>
      <c r="D34" s="79"/>
      <c r="E34" s="5"/>
      <c r="F34" s="5"/>
      <c r="G34" s="5"/>
      <c r="H34" s="6"/>
      <c r="L34" t="e">
        <v>#NUM!</v>
      </c>
      <c r="M34" t="e">
        <v>#NUM!</v>
      </c>
    </row>
    <row r="35" spans="1:13">
      <c r="A35" s="9" t="s">
        <v>151</v>
      </c>
      <c r="B35" s="3" t="s">
        <v>152</v>
      </c>
      <c r="C35" s="26">
        <f t="shared" si="0"/>
        <v>0</v>
      </c>
      <c r="D35" s="79"/>
      <c r="E35" s="5"/>
      <c r="F35" s="5"/>
      <c r="G35" s="5"/>
      <c r="H35" s="6"/>
      <c r="L35" t="e">
        <v>#NUM!</v>
      </c>
      <c r="M35" t="e">
        <v>#NUM!</v>
      </c>
    </row>
    <row r="36" spans="1:13">
      <c r="A36" s="9" t="s">
        <v>14</v>
      </c>
      <c r="B36" s="3" t="s">
        <v>15</v>
      </c>
      <c r="C36" s="26">
        <f t="shared" si="0"/>
        <v>0</v>
      </c>
      <c r="D36" s="80" t="s">
        <v>158</v>
      </c>
      <c r="E36" s="5"/>
      <c r="F36" s="5"/>
      <c r="G36" s="5"/>
      <c r="H36" s="6"/>
      <c r="L36" t="e">
        <v>#NUM!</v>
      </c>
      <c r="M36" t="e">
        <v>#NUM!</v>
      </c>
    </row>
    <row r="37" spans="1:13">
      <c r="A37" s="9" t="s">
        <v>19</v>
      </c>
      <c r="B37" s="3" t="s">
        <v>20</v>
      </c>
      <c r="C37" s="26">
        <f t="shared" si="0"/>
        <v>0</v>
      </c>
      <c r="D37" s="80"/>
      <c r="L37" t="e">
        <v>#NUM!</v>
      </c>
      <c r="M37" t="e">
        <v>#NUM!</v>
      </c>
    </row>
    <row r="38" spans="1:13">
      <c r="A38" s="9" t="s">
        <v>24</v>
      </c>
      <c r="B38" s="3" t="s">
        <v>25</v>
      </c>
      <c r="C38" s="26">
        <f t="shared" si="0"/>
        <v>0</v>
      </c>
      <c r="D38" s="80"/>
      <c r="L38" t="e">
        <v>#NUM!</v>
      </c>
      <c r="M38" t="e">
        <v>#NUM!</v>
      </c>
    </row>
    <row r="39" spans="1:13">
      <c r="A39" s="9" t="s">
        <v>29</v>
      </c>
      <c r="B39" s="3" t="s">
        <v>30</v>
      </c>
      <c r="C39" s="26">
        <f t="shared" si="0"/>
        <v>0</v>
      </c>
      <c r="D39" s="80"/>
      <c r="L39" t="e">
        <v>#NUM!</v>
      </c>
      <c r="M39" t="e">
        <v>#NUM!</v>
      </c>
    </row>
    <row r="40" spans="1:13">
      <c r="A40" s="9" t="s">
        <v>33</v>
      </c>
      <c r="B40" s="3" t="s">
        <v>34</v>
      </c>
      <c r="C40" s="26">
        <f t="shared" si="0"/>
        <v>0</v>
      </c>
      <c r="D40" s="80"/>
      <c r="L40" t="e">
        <v>#NUM!</v>
      </c>
      <c r="M40" t="e">
        <v>#NUM!</v>
      </c>
    </row>
    <row r="41" spans="1:13">
      <c r="A41" s="9" t="s">
        <v>38</v>
      </c>
      <c r="B41" s="3" t="s">
        <v>39</v>
      </c>
      <c r="C41" s="26">
        <f>(SUMPRODUCT(LEN($A$1)-LEN(SUBSTITUTE($A$1,B41,""))))+(SUMPRODUCT(LEN($A$1)-LEN(SUBSTITUTE($A$1,B42,""))))</f>
        <v>0</v>
      </c>
      <c r="D41" s="80"/>
      <c r="L41" t="e">
        <v>#NUM!</v>
      </c>
      <c r="M41" t="e">
        <v>#NUM!</v>
      </c>
    </row>
    <row r="42" spans="1:13">
      <c r="A42" s="9"/>
      <c r="B42" s="3" t="s">
        <v>42</v>
      </c>
      <c r="C42" s="26">
        <v>0</v>
      </c>
      <c r="D42" s="80"/>
      <c r="L42" t="e">
        <v>#NUM!</v>
      </c>
      <c r="M42" t="e">
        <v>#NUM!</v>
      </c>
    </row>
    <row r="43" spans="1:13">
      <c r="A43" s="9" t="s">
        <v>46</v>
      </c>
      <c r="B43" s="3" t="s">
        <v>47</v>
      </c>
      <c r="C43" s="26">
        <f>SUMPRODUCT(LEN($A$1)-LEN(SUBSTITUTE($A$1,B43,"")))</f>
        <v>0</v>
      </c>
      <c r="D43" s="80"/>
      <c r="L43" t="e">
        <v>#NUM!</v>
      </c>
      <c r="M43" t="e">
        <v>#NUM!</v>
      </c>
    </row>
    <row r="44" spans="1:13">
      <c r="A44" s="9" t="s">
        <v>51</v>
      </c>
      <c r="B44" s="3" t="s">
        <v>52</v>
      </c>
      <c r="C44" s="26">
        <f>SUMPRODUCT(LEN($A$1)-LEN(SUBSTITUTE($A$1,B44,"")))</f>
        <v>0</v>
      </c>
      <c r="D44" s="80"/>
      <c r="L44" t="e">
        <v>#NUM!</v>
      </c>
      <c r="M44" t="e">
        <v>#NUM!</v>
      </c>
    </row>
    <row r="45" spans="1:13">
      <c r="A45" s="9" t="s">
        <v>56</v>
      </c>
      <c r="B45" s="3" t="s">
        <v>57</v>
      </c>
      <c r="C45" s="26">
        <f>(SUMPRODUCT(LEN($A$1)-LEN(SUBSTITUTE($A$1,B45,""))))+(SUMPRODUCT(LEN($A$1)-LEN(SUBSTITUTE($A$1,B81,""))))</f>
        <v>0</v>
      </c>
      <c r="D45" s="80"/>
      <c r="L45" t="e">
        <v>#NUM!</v>
      </c>
      <c r="M45" t="e">
        <v>#NUM!</v>
      </c>
    </row>
    <row r="46" spans="1:13">
      <c r="A46" s="9" t="s">
        <v>61</v>
      </c>
      <c r="B46" s="3" t="s">
        <v>62</v>
      </c>
      <c r="C46" s="26">
        <f t="shared" ref="C46:C73" si="1">SUMPRODUCT(LEN($A$1)-LEN(SUBSTITUTE($A$1,B46,"")))</f>
        <v>0</v>
      </c>
      <c r="D46" s="80"/>
      <c r="L46" t="e">
        <v>#NUM!</v>
      </c>
      <c r="M46" t="e">
        <v>#NUM!</v>
      </c>
    </row>
    <row r="47" spans="1:13">
      <c r="A47" s="9" t="s">
        <v>67</v>
      </c>
      <c r="B47" s="3" t="s">
        <v>68</v>
      </c>
      <c r="C47" s="26">
        <f t="shared" si="1"/>
        <v>0</v>
      </c>
      <c r="D47" s="80"/>
      <c r="L47" t="e">
        <v>#NUM!</v>
      </c>
      <c r="M47" t="e">
        <v>#NUM!</v>
      </c>
    </row>
    <row r="48" spans="1:13">
      <c r="A48" s="9" t="s">
        <v>73</v>
      </c>
      <c r="B48" s="3" t="s">
        <v>74</v>
      </c>
      <c r="C48" s="26">
        <f t="shared" si="1"/>
        <v>0</v>
      </c>
      <c r="D48" s="80"/>
      <c r="L48" t="e">
        <v>#NUM!</v>
      </c>
      <c r="M48" t="e">
        <v>#NUM!</v>
      </c>
    </row>
    <row r="49" spans="1:13">
      <c r="A49" s="9" t="s">
        <v>78</v>
      </c>
      <c r="B49" s="3" t="s">
        <v>79</v>
      </c>
      <c r="C49" s="26">
        <f t="shared" si="1"/>
        <v>0</v>
      </c>
      <c r="D49" s="80"/>
      <c r="L49" t="e">
        <v>#NUM!</v>
      </c>
      <c r="M49" t="e">
        <v>#NUM!</v>
      </c>
    </row>
    <row r="50" spans="1:13">
      <c r="A50" s="9" t="s">
        <v>84</v>
      </c>
      <c r="B50" s="3" t="s">
        <v>85</v>
      </c>
      <c r="C50" s="26">
        <f t="shared" si="1"/>
        <v>0</v>
      </c>
      <c r="D50" s="80"/>
      <c r="L50" t="e">
        <v>#NUM!</v>
      </c>
      <c r="M50" t="e">
        <v>#NUM!</v>
      </c>
    </row>
    <row r="51" spans="1:13">
      <c r="A51" s="9" t="s">
        <v>89</v>
      </c>
      <c r="B51" s="3" t="s">
        <v>90</v>
      </c>
      <c r="C51" s="26">
        <f t="shared" si="1"/>
        <v>0</v>
      </c>
      <c r="D51" s="80"/>
      <c r="L51" t="e">
        <v>#NUM!</v>
      </c>
      <c r="M51" t="e">
        <v>#NUM!</v>
      </c>
    </row>
    <row r="52" spans="1:13">
      <c r="A52" s="9" t="s">
        <v>93</v>
      </c>
      <c r="B52" s="3" t="s">
        <v>94</v>
      </c>
      <c r="C52" s="26">
        <f t="shared" si="1"/>
        <v>0</v>
      </c>
      <c r="D52" s="80"/>
      <c r="L52" t="e">
        <v>#NUM!</v>
      </c>
      <c r="M52" t="e">
        <v>#NUM!</v>
      </c>
    </row>
    <row r="53" spans="1:13">
      <c r="A53" s="9" t="s">
        <v>97</v>
      </c>
      <c r="B53" s="3" t="s">
        <v>98</v>
      </c>
      <c r="C53" s="26">
        <f t="shared" si="1"/>
        <v>0</v>
      </c>
      <c r="D53" s="80"/>
      <c r="L53" t="e">
        <v>#NUM!</v>
      </c>
      <c r="M53" t="e">
        <v>#NUM!</v>
      </c>
    </row>
    <row r="54" spans="1:13">
      <c r="A54" s="9" t="s">
        <v>101</v>
      </c>
      <c r="B54" s="3" t="s">
        <v>102</v>
      </c>
      <c r="C54" s="26">
        <f t="shared" si="1"/>
        <v>0</v>
      </c>
      <c r="D54" s="80"/>
      <c r="L54" t="e">
        <v>#NUM!</v>
      </c>
      <c r="M54" t="e">
        <v>#NUM!</v>
      </c>
    </row>
    <row r="55" spans="1:13">
      <c r="A55" s="9" t="s">
        <v>105</v>
      </c>
      <c r="B55" s="3" t="s">
        <v>106</v>
      </c>
      <c r="C55" s="26">
        <f t="shared" si="1"/>
        <v>0</v>
      </c>
      <c r="D55" s="80"/>
      <c r="L55" t="e">
        <v>#NUM!</v>
      </c>
      <c r="M55" t="e">
        <v>#NUM!</v>
      </c>
    </row>
    <row r="56" spans="1:13">
      <c r="A56" s="9" t="s">
        <v>109</v>
      </c>
      <c r="B56" s="3" t="s">
        <v>110</v>
      </c>
      <c r="C56" s="26">
        <f t="shared" si="1"/>
        <v>0</v>
      </c>
      <c r="D56" s="80"/>
      <c r="L56" t="e">
        <v>#NUM!</v>
      </c>
      <c r="M56" t="e">
        <v>#NUM!</v>
      </c>
    </row>
    <row r="57" spans="1:13">
      <c r="A57" s="9" t="s">
        <v>113</v>
      </c>
      <c r="B57" s="3" t="s">
        <v>114</v>
      </c>
      <c r="C57" s="26">
        <f t="shared" si="1"/>
        <v>0</v>
      </c>
      <c r="D57" s="80"/>
      <c r="L57" t="e">
        <v>#NUM!</v>
      </c>
      <c r="M57" t="e">
        <v>#NUM!</v>
      </c>
    </row>
    <row r="58" spans="1:13">
      <c r="A58" s="9" t="s">
        <v>117</v>
      </c>
      <c r="B58" s="3" t="s">
        <v>118</v>
      </c>
      <c r="C58" s="26">
        <f t="shared" si="1"/>
        <v>0</v>
      </c>
      <c r="D58" s="80"/>
      <c r="L58" t="e">
        <v>#NUM!</v>
      </c>
      <c r="M58" t="e">
        <v>#NUM!</v>
      </c>
    </row>
    <row r="59" spans="1:13">
      <c r="A59" s="9" t="s">
        <v>121</v>
      </c>
      <c r="B59" s="3" t="s">
        <v>122</v>
      </c>
      <c r="C59" s="26">
        <f t="shared" si="1"/>
        <v>0</v>
      </c>
      <c r="D59" s="80"/>
      <c r="L59" t="e">
        <v>#NUM!</v>
      </c>
      <c r="M59" t="e">
        <v>#NUM!</v>
      </c>
    </row>
    <row r="60" spans="1:13">
      <c r="A60" s="9" t="s">
        <v>125</v>
      </c>
      <c r="B60" s="3" t="s">
        <v>126</v>
      </c>
      <c r="C60" s="26">
        <f t="shared" si="1"/>
        <v>0</v>
      </c>
      <c r="D60" s="80"/>
      <c r="L60" t="e">
        <v>#NUM!</v>
      </c>
      <c r="M60" t="e">
        <v>#NUM!</v>
      </c>
    </row>
    <row r="61" spans="1:13">
      <c r="A61" s="9" t="s">
        <v>129</v>
      </c>
      <c r="B61" s="3" t="s">
        <v>130</v>
      </c>
      <c r="C61" s="26">
        <f t="shared" si="1"/>
        <v>0</v>
      </c>
      <c r="D61" s="80"/>
      <c r="L61" t="e">
        <v>#NUM!</v>
      </c>
      <c r="M61" t="e">
        <v>#NUM!</v>
      </c>
    </row>
    <row r="62" spans="1:13">
      <c r="A62" s="9" t="s">
        <v>133</v>
      </c>
      <c r="B62" s="3" t="s">
        <v>134</v>
      </c>
      <c r="C62" s="26">
        <f t="shared" si="1"/>
        <v>0</v>
      </c>
      <c r="D62" s="80"/>
      <c r="L62" t="e">
        <v>#NUM!</v>
      </c>
      <c r="M62" t="e">
        <v>#NUM!</v>
      </c>
    </row>
    <row r="63" spans="1:13">
      <c r="A63" s="9" t="s">
        <v>137</v>
      </c>
      <c r="B63" s="3" t="s">
        <v>138</v>
      </c>
      <c r="C63" s="26">
        <f t="shared" si="1"/>
        <v>0</v>
      </c>
      <c r="D63" s="80"/>
      <c r="L63" t="e">
        <v>#NUM!</v>
      </c>
      <c r="M63" t="e">
        <v>#NUM!</v>
      </c>
    </row>
    <row r="64" spans="1:13">
      <c r="A64" s="9" t="s">
        <v>141</v>
      </c>
      <c r="B64" s="3" t="s">
        <v>142</v>
      </c>
      <c r="C64" s="26">
        <f t="shared" si="1"/>
        <v>0</v>
      </c>
      <c r="D64" s="80"/>
      <c r="L64" t="e">
        <v>#NUM!</v>
      </c>
      <c r="M64" t="e">
        <v>#NUM!</v>
      </c>
    </row>
    <row r="65" spans="1:13">
      <c r="A65" s="9" t="s">
        <v>145</v>
      </c>
      <c r="B65" s="3" t="s">
        <v>146</v>
      </c>
      <c r="C65" s="26">
        <f t="shared" si="1"/>
        <v>0</v>
      </c>
      <c r="D65" s="80"/>
      <c r="L65" t="e">
        <v>#NUM!</v>
      </c>
      <c r="M65" t="e">
        <v>#NUM!</v>
      </c>
    </row>
    <row r="66" spans="1:13">
      <c r="A66" s="9" t="s">
        <v>149</v>
      </c>
      <c r="B66" s="3" t="s">
        <v>150</v>
      </c>
      <c r="C66" s="26">
        <f t="shared" si="1"/>
        <v>0</v>
      </c>
      <c r="D66" s="80"/>
      <c r="L66" t="e">
        <v>#NUM!</v>
      </c>
      <c r="M66" t="e">
        <v>#NUM!</v>
      </c>
    </row>
    <row r="67" spans="1:13">
      <c r="A67" s="9" t="s">
        <v>153</v>
      </c>
      <c r="B67" s="3" t="s">
        <v>154</v>
      </c>
      <c r="C67" s="26">
        <f t="shared" si="1"/>
        <v>0</v>
      </c>
      <c r="D67" s="80"/>
      <c r="L67" t="e">
        <v>#NUM!</v>
      </c>
      <c r="M67" t="e">
        <v>#NUM!</v>
      </c>
    </row>
    <row r="68" spans="1:13">
      <c r="A68" s="9" t="s">
        <v>190</v>
      </c>
      <c r="B68" s="3">
        <v>0</v>
      </c>
      <c r="C68" s="24">
        <f t="shared" si="1"/>
        <v>0</v>
      </c>
      <c r="D68" s="74" t="s">
        <v>158</v>
      </c>
      <c r="L68" t="e">
        <v>#NUM!</v>
      </c>
      <c r="M68" t="e">
        <v>#NUM!</v>
      </c>
    </row>
    <row r="69" spans="1:13">
      <c r="A69" s="9" t="s">
        <v>191</v>
      </c>
      <c r="B69" s="3">
        <v>1</v>
      </c>
      <c r="C69" s="24">
        <f t="shared" si="1"/>
        <v>0</v>
      </c>
      <c r="D69" s="74"/>
      <c r="L69" t="e">
        <v>#NUM!</v>
      </c>
      <c r="M69" t="e">
        <v>#NUM!</v>
      </c>
    </row>
    <row r="70" spans="1:13">
      <c r="A70" s="9" t="s">
        <v>192</v>
      </c>
      <c r="B70" s="3">
        <v>2</v>
      </c>
      <c r="C70" s="24">
        <f t="shared" si="1"/>
        <v>0</v>
      </c>
      <c r="D70" s="74"/>
      <c r="L70" t="e">
        <v>#NUM!</v>
      </c>
      <c r="M70" t="e">
        <v>#NUM!</v>
      </c>
    </row>
    <row r="71" spans="1:13">
      <c r="A71" s="9" t="s">
        <v>16</v>
      </c>
      <c r="B71" s="3">
        <v>3</v>
      </c>
      <c r="C71" s="24">
        <f t="shared" si="1"/>
        <v>0</v>
      </c>
      <c r="D71" s="74"/>
      <c r="L71" t="e">
        <v>#NUM!</v>
      </c>
      <c r="M71" t="e">
        <v>#NUM!</v>
      </c>
    </row>
    <row r="72" spans="1:13">
      <c r="A72" s="9" t="s">
        <v>21</v>
      </c>
      <c r="B72" s="3">
        <v>4</v>
      </c>
      <c r="C72" s="24">
        <f t="shared" si="1"/>
        <v>0</v>
      </c>
      <c r="D72" s="74"/>
      <c r="L72" t="e">
        <v>#NUM!</v>
      </c>
      <c r="M72" t="e">
        <v>#NUM!</v>
      </c>
    </row>
    <row r="73" spans="1:13">
      <c r="A73" s="9" t="s">
        <v>26</v>
      </c>
      <c r="B73" s="3">
        <v>5</v>
      </c>
      <c r="C73" s="24">
        <f t="shared" si="1"/>
        <v>0</v>
      </c>
      <c r="D73" s="74"/>
      <c r="L73" t="e">
        <v>#NUM!</v>
      </c>
      <c r="M73" t="e">
        <v>#NUM!</v>
      </c>
    </row>
    <row r="74" spans="1:13">
      <c r="A74" s="9" t="s">
        <v>35</v>
      </c>
      <c r="B74" s="3">
        <v>6</v>
      </c>
      <c r="C74" s="24">
        <f>SUMPRODUCT(LEN($A$1)-LEN(SUBSTITUTE($A$1,6,"")))+SUMPRODUCT(LEN($A$1)-LEN(SUBSTITUTE($A$1,9,"")))</f>
        <v>0</v>
      </c>
      <c r="D74" s="74"/>
      <c r="L74" t="e">
        <v>#NUM!</v>
      </c>
      <c r="M74" t="e">
        <v>#NUM!</v>
      </c>
    </row>
    <row r="75" spans="1:13">
      <c r="A75" s="9" t="s">
        <v>40</v>
      </c>
      <c r="B75" s="3">
        <v>7</v>
      </c>
      <c r="C75" s="24">
        <f>SUMPRODUCT(LEN($A$1)-LEN(SUBSTITUTE($A$1,B75,"")))</f>
        <v>0</v>
      </c>
      <c r="D75" s="74"/>
      <c r="L75" t="e">
        <v>#NUM!</v>
      </c>
      <c r="M75" t="e">
        <v>#NUM!</v>
      </c>
    </row>
    <row r="76" spans="1:13">
      <c r="A76" s="9" t="s">
        <v>43</v>
      </c>
      <c r="B76" s="3">
        <v>8</v>
      </c>
      <c r="C76" s="24">
        <f>SUMPRODUCT(LEN($A$1)-LEN(SUBSTITUTE($A$1,B76,"")))</f>
        <v>0</v>
      </c>
      <c r="D76" s="74"/>
      <c r="L76" t="e">
        <v>#NUM!</v>
      </c>
      <c r="M76" t="e">
        <v>#NUM!</v>
      </c>
    </row>
    <row r="77" spans="1:13">
      <c r="A77" s="9" t="s">
        <v>48</v>
      </c>
      <c r="B77" s="3" t="s">
        <v>64</v>
      </c>
      <c r="C77" s="24">
        <f>(SUMPRODUCT(LEN($A$1)-LEN(SUBSTITUTE($A$1,B77,""))))+((SUMPRODUCT(LEN($A$1)-LEN(SUBSTITUTE($A$1,B10,""))))*2)+((SUMPRODUCT(LEN($A$1)-LEN(SUBSTITUTE($A$1,B42,""))))*2)</f>
        <v>0</v>
      </c>
      <c r="D77" s="75"/>
      <c r="L77" t="e">
        <v>#NUM!</v>
      </c>
      <c r="M77" t="e">
        <v>#NUM!</v>
      </c>
    </row>
    <row r="78" spans="1:13">
      <c r="A78" s="9" t="s">
        <v>53</v>
      </c>
      <c r="B78" s="3" t="s">
        <v>70</v>
      </c>
      <c r="C78" s="24">
        <f>(SUMPRODUCT(LEN($A$1)-LEN(SUBSTITUTE($A$1,B78,""))))+((SUMPRODUCT(LEN($A$1)-LEN(SUBSTITUTE($A$1,B11,""))))*2)+((SUMPRODUCT(LEN($A$1)-LEN(SUBSTITUTE($A$1,B43,""))))*2)</f>
        <v>0</v>
      </c>
      <c r="D78" s="75"/>
      <c r="L78" t="e">
        <v>#NUM!</v>
      </c>
      <c r="M78" t="e">
        <v>#NUM!</v>
      </c>
    </row>
    <row r="79" spans="1:13">
      <c r="A79" s="9" t="s">
        <v>58</v>
      </c>
      <c r="B79" s="3" t="s">
        <v>75</v>
      </c>
      <c r="C79" s="24">
        <f>SUMPRODUCT(LEN($A$1)-LEN(SUBSTITUTE($A$1,B79,"")))</f>
        <v>0</v>
      </c>
      <c r="D79" s="75"/>
      <c r="L79" t="e">
        <v>#NUM!</v>
      </c>
      <c r="M79" t="e">
        <v>#NUM!</v>
      </c>
    </row>
    <row r="80" spans="1:13">
      <c r="A80" s="9" t="s">
        <v>63</v>
      </c>
      <c r="B80" s="3" t="s">
        <v>81</v>
      </c>
      <c r="C80" s="24">
        <f>SUMPRODUCT(LEN($A$1)-LEN(SUBSTITUTE($A$1,B80,"")))</f>
        <v>0</v>
      </c>
      <c r="D80" s="75"/>
      <c r="L80" t="e">
        <v>#NUM!</v>
      </c>
      <c r="M80" t="e">
        <v>#NUM!</v>
      </c>
    </row>
    <row r="81" spans="1:4">
      <c r="A81" s="9" t="s">
        <v>69</v>
      </c>
      <c r="B81" s="3" t="s">
        <v>86</v>
      </c>
      <c r="C81" s="24">
        <f>SUMPRODUCT(LEN($A$1)-LEN(SUBSTITUTE($A$1,B81,"")))</f>
        <v>0</v>
      </c>
      <c r="D81" s="75"/>
    </row>
  </sheetData>
  <sheetProtection selectLockedCells="1" selectUnlockedCells="1"/>
  <mergeCells count="8">
    <mergeCell ref="D68:D76"/>
    <mergeCell ref="D77:D81"/>
    <mergeCell ref="J5:J7"/>
    <mergeCell ref="E5:F5"/>
    <mergeCell ref="E6:F6"/>
    <mergeCell ref="E7:F7"/>
    <mergeCell ref="D4:D35"/>
    <mergeCell ref="D36:D67"/>
  </mergeCells>
  <conditionalFormatting sqref="C78">
    <cfRule type="cellIs" dxfId="9" priority="1" operator="greaterThan">
      <formula>0</formula>
    </cfRule>
  </conditionalFormatting>
  <conditionalFormatting sqref="C80">
    <cfRule type="cellIs" dxfId="8" priority="5" operator="greaterThan">
      <formula>0</formula>
    </cfRule>
  </conditionalFormatting>
  <conditionalFormatting sqref="C81">
    <cfRule type="cellIs" dxfId="7" priority="4" operator="greaterThan">
      <formula>0</formula>
    </cfRule>
  </conditionalFormatting>
  <conditionalFormatting sqref="L4:M80">
    <cfRule type="containsErrors" dxfId="6" priority="7">
      <formula>ISERROR(L4)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/>
  <dimension ref="A1:L29"/>
  <sheetViews>
    <sheetView zoomScale="99" zoomScaleNormal="99" workbookViewId="0">
      <selection activeCell="C22" sqref="C22"/>
    </sheetView>
  </sheetViews>
  <sheetFormatPr defaultColWidth="11.42578125" defaultRowHeight="15"/>
  <cols>
    <col min="1" max="1" width="13.7109375" customWidth="1"/>
    <col min="2" max="2" width="4" customWidth="1"/>
    <col min="3" max="3" width="6.28515625" customWidth="1"/>
    <col min="4" max="4" width="5.85546875" customWidth="1"/>
    <col min="5" max="5" width="8.28515625" customWidth="1"/>
    <col min="6" max="6" width="2.42578125" customWidth="1"/>
    <col min="7" max="7" width="4.7109375" customWidth="1"/>
    <col min="8" max="8" width="6.7109375" customWidth="1"/>
    <col min="9" max="9" width="8.28515625" customWidth="1"/>
  </cols>
  <sheetData>
    <row r="1" spans="1:12" ht="21.95" customHeight="1">
      <c r="A1" s="71" t="s">
        <v>187</v>
      </c>
      <c r="B1" s="71"/>
      <c r="C1" s="71"/>
      <c r="D1" s="71"/>
      <c r="E1" s="71"/>
      <c r="F1" s="71"/>
      <c r="G1" s="71"/>
      <c r="H1" s="18"/>
      <c r="I1" s="71" t="s">
        <v>159</v>
      </c>
      <c r="J1" s="71"/>
      <c r="K1" s="71"/>
      <c r="L1" s="71"/>
    </row>
    <row r="2" spans="1:12" ht="51.95" customHeight="1">
      <c r="A2" s="81">
        <f>'цифры 4 5 см'!A2:G2</f>
        <v>0</v>
      </c>
      <c r="B2" s="81"/>
      <c r="C2" s="81"/>
      <c r="D2" s="81"/>
      <c r="E2" s="81"/>
      <c r="F2" s="81"/>
      <c r="G2" s="81"/>
      <c r="H2" s="19"/>
      <c r="I2" s="82" t="str">
        <f>'цифры 4 5 см'!I2:P2</f>
        <v>пусто</v>
      </c>
      <c r="J2" s="83"/>
      <c r="K2" s="83"/>
      <c r="L2" s="84"/>
    </row>
    <row r="3" spans="1:12" s="17" customFormat="1" ht="23.1" customHeight="1">
      <c r="A3" s="20" t="s">
        <v>161</v>
      </c>
      <c r="B3" s="21"/>
      <c r="C3" s="22" t="s">
        <v>184</v>
      </c>
      <c r="D3"/>
      <c r="E3"/>
      <c r="F3"/>
      <c r="G3"/>
      <c r="H3" s="23"/>
      <c r="I3" s="25" t="s">
        <v>185</v>
      </c>
      <c r="J3" s="25" t="s">
        <v>186</v>
      </c>
    </row>
    <row r="4" spans="1:12">
      <c r="A4" s="9" t="s">
        <v>164</v>
      </c>
      <c r="B4" s="3">
        <v>0</v>
      </c>
      <c r="C4" s="24">
        <f t="shared" ref="C4:C9" si="0">SUMPRODUCT(LEN($A$2)-LEN(SUBSTITUTE($A$2,B4,"")))</f>
        <v>1</v>
      </c>
      <c r="H4" s="5"/>
      <c r="I4" t="str">
        <f t="array" ref="I4:I29">INDEX(A4:A81,SMALL(IF(IFERROR(1&lt;=C4:C81,0),ROW(C4:C81),""),ROW(C4:C81)-ROW($C$3))-ROW($C$3))</f>
        <v>46507/0</v>
      </c>
      <c r="J4">
        <f t="array" ref="J4:J29">INDEX(C4:C81,SMALL(IF(IFERROR(1&lt;=C4:C81,0),ROW(C4:C81),""),ROW(C4:C81)-ROW($C$3))-ROW($C$3))</f>
        <v>1</v>
      </c>
    </row>
    <row r="5" spans="1:12">
      <c r="A5" s="9" t="s">
        <v>166</v>
      </c>
      <c r="B5" s="3">
        <v>1</v>
      </c>
      <c r="C5" s="24">
        <f t="shared" si="0"/>
        <v>0</v>
      </c>
      <c r="H5" s="5"/>
      <c r="I5" t="e">
        <v>#NUM!</v>
      </c>
      <c r="J5" t="e">
        <v>#NUM!</v>
      </c>
    </row>
    <row r="6" spans="1:12">
      <c r="A6" s="9" t="s">
        <v>168</v>
      </c>
      <c r="B6" s="3">
        <v>2</v>
      </c>
      <c r="C6" s="24">
        <f t="shared" si="0"/>
        <v>0</v>
      </c>
      <c r="H6" s="5"/>
      <c r="I6" t="e">
        <v>#NUM!</v>
      </c>
      <c r="J6" t="e">
        <v>#NUM!</v>
      </c>
    </row>
    <row r="7" spans="1:12">
      <c r="A7" s="9" t="s">
        <v>170</v>
      </c>
      <c r="B7" s="3">
        <v>3</v>
      </c>
      <c r="C7" s="24">
        <f t="shared" si="0"/>
        <v>0</v>
      </c>
      <c r="H7" s="5"/>
      <c r="I7" t="e">
        <v>#NUM!</v>
      </c>
      <c r="J7" t="e">
        <v>#NUM!</v>
      </c>
    </row>
    <row r="8" spans="1:12">
      <c r="A8" s="9" t="s">
        <v>172</v>
      </c>
      <c r="B8" s="3">
        <v>4</v>
      </c>
      <c r="C8" s="24">
        <f t="shared" si="0"/>
        <v>0</v>
      </c>
      <c r="H8" s="5"/>
      <c r="I8" t="e">
        <v>#NUM!</v>
      </c>
      <c r="J8" t="e">
        <v>#NUM!</v>
      </c>
    </row>
    <row r="9" spans="1:12">
      <c r="A9" s="9" t="s">
        <v>174</v>
      </c>
      <c r="B9" s="3">
        <v>5</v>
      </c>
      <c r="C9" s="24">
        <f t="shared" si="0"/>
        <v>0</v>
      </c>
      <c r="H9" s="5"/>
      <c r="I9" t="e">
        <v>#NUM!</v>
      </c>
      <c r="J9" t="e">
        <v>#NUM!</v>
      </c>
    </row>
    <row r="10" spans="1:12">
      <c r="A10" s="9" t="s">
        <v>176</v>
      </c>
      <c r="B10" s="3">
        <v>6</v>
      </c>
      <c r="C10" s="24">
        <f>SUMPRODUCT(LEN($A$2)-LEN(SUBSTITUTE($A$2,6,"")))+SUMPRODUCT(LEN($A$2)-LEN(SUBSTITUTE($A$2,9,"")))</f>
        <v>0</v>
      </c>
      <c r="H10" s="5"/>
      <c r="I10" t="e">
        <v>#NUM!</v>
      </c>
      <c r="J10" t="e">
        <v>#NUM!</v>
      </c>
    </row>
    <row r="11" spans="1:12">
      <c r="A11" s="9" t="s">
        <v>178</v>
      </c>
      <c r="B11" s="3">
        <v>7</v>
      </c>
      <c r="C11" s="24">
        <f>SUMPRODUCT(LEN($A$2)-LEN(SUBSTITUTE($A$2,B11,"")))</f>
        <v>0</v>
      </c>
      <c r="H11" s="5"/>
      <c r="I11" t="e">
        <v>#NUM!</v>
      </c>
      <c r="J11" t="e">
        <v>#NUM!</v>
      </c>
    </row>
    <row r="12" spans="1:12">
      <c r="A12" s="9" t="s">
        <v>180</v>
      </c>
      <c r="B12" s="3">
        <v>8</v>
      </c>
      <c r="C12" s="24">
        <f>SUMPRODUCT(LEN($A$2)-LEN(SUBSTITUTE($A$2,B12,"")))</f>
        <v>0</v>
      </c>
      <c r="H12" s="5"/>
      <c r="I12" t="e">
        <v>#NUM!</v>
      </c>
      <c r="J12" t="e">
        <v>#NUM!</v>
      </c>
    </row>
    <row r="13" spans="1:12">
      <c r="A13" s="9" t="s">
        <v>165</v>
      </c>
      <c r="B13" s="3">
        <v>0</v>
      </c>
      <c r="C13" s="24">
        <f>SUMPRODUCT(LEN($I$2)-LEN(SUBSTITUTE($I$2,B13,"")))</f>
        <v>0</v>
      </c>
      <c r="H13" s="5"/>
      <c r="I13" t="e">
        <v>#NUM!</v>
      </c>
      <c r="J13" t="e">
        <v>#NUM!</v>
      </c>
    </row>
    <row r="14" spans="1:12">
      <c r="A14" s="9" t="s">
        <v>167</v>
      </c>
      <c r="B14" s="3">
        <v>1</v>
      </c>
      <c r="C14" s="24">
        <f t="shared" ref="C14:C23" si="1">SUMPRODUCT(LEN($I$2)-LEN(SUBSTITUTE($I$2,B14,"")))</f>
        <v>0</v>
      </c>
      <c r="H14" s="5"/>
      <c r="I14" t="e">
        <v>#NUM!</v>
      </c>
      <c r="J14" t="e">
        <v>#NUM!</v>
      </c>
    </row>
    <row r="15" spans="1:12">
      <c r="A15" s="9" t="s">
        <v>169</v>
      </c>
      <c r="B15" s="3">
        <v>2</v>
      </c>
      <c r="C15" s="24">
        <f t="shared" si="1"/>
        <v>0</v>
      </c>
      <c r="H15" s="5"/>
      <c r="I15" t="e">
        <v>#NUM!</v>
      </c>
      <c r="J15" t="e">
        <v>#NUM!</v>
      </c>
    </row>
    <row r="16" spans="1:12">
      <c r="A16" s="9" t="s">
        <v>171</v>
      </c>
      <c r="B16" s="3">
        <v>3</v>
      </c>
      <c r="C16" s="24">
        <f t="shared" si="1"/>
        <v>0</v>
      </c>
      <c r="H16" s="5"/>
      <c r="I16" t="e">
        <v>#NUM!</v>
      </c>
      <c r="J16" t="e">
        <v>#NUM!</v>
      </c>
    </row>
    <row r="17" spans="1:10">
      <c r="A17" s="9" t="s">
        <v>173</v>
      </c>
      <c r="B17" s="3">
        <v>4</v>
      </c>
      <c r="C17" s="24">
        <f t="shared" si="1"/>
        <v>0</v>
      </c>
      <c r="H17" s="5"/>
      <c r="I17" t="e">
        <v>#NUM!</v>
      </c>
      <c r="J17" t="e">
        <v>#NUM!</v>
      </c>
    </row>
    <row r="18" spans="1:10">
      <c r="A18" s="9" t="s">
        <v>175</v>
      </c>
      <c r="B18" s="3">
        <v>5</v>
      </c>
      <c r="C18" s="24">
        <f t="shared" si="1"/>
        <v>0</v>
      </c>
      <c r="H18" s="5"/>
      <c r="I18" t="e">
        <v>#NUM!</v>
      </c>
      <c r="J18" t="e">
        <v>#NUM!</v>
      </c>
    </row>
    <row r="19" spans="1:10">
      <c r="A19" s="9" t="s">
        <v>177</v>
      </c>
      <c r="B19" s="3">
        <v>6</v>
      </c>
      <c r="C19" s="24">
        <f>SUMPRODUCT(LEN($I$2)-LEN(SUBSTITUTE($I$2,B19,"")))+SUMPRODUCT(LEN($I$2)-LEN(SUBSTITUTE($I$2,9,"")))</f>
        <v>0</v>
      </c>
      <c r="H19" s="5"/>
      <c r="I19" t="e">
        <v>#NUM!</v>
      </c>
      <c r="J19" t="e">
        <v>#NUM!</v>
      </c>
    </row>
    <row r="20" spans="1:10">
      <c r="A20" s="9" t="s">
        <v>179</v>
      </c>
      <c r="B20" s="3">
        <v>7</v>
      </c>
      <c r="C20" s="24">
        <f t="shared" si="1"/>
        <v>0</v>
      </c>
      <c r="H20" s="5"/>
      <c r="I20" t="e">
        <v>#NUM!</v>
      </c>
      <c r="J20" t="e">
        <v>#NUM!</v>
      </c>
    </row>
    <row r="21" spans="1:10">
      <c r="A21" s="9" t="s">
        <v>181</v>
      </c>
      <c r="B21" s="3">
        <v>8</v>
      </c>
      <c r="C21" s="24">
        <f t="shared" si="1"/>
        <v>0</v>
      </c>
      <c r="H21" s="5"/>
      <c r="I21" t="e">
        <v>#NUM!</v>
      </c>
      <c r="J21" t="e">
        <v>#NUM!</v>
      </c>
    </row>
    <row r="22" spans="1:10">
      <c r="A22" s="9" t="s">
        <v>48</v>
      </c>
      <c r="B22" s="3" t="s">
        <v>64</v>
      </c>
      <c r="C22" s="24">
        <f t="shared" si="1"/>
        <v>0</v>
      </c>
      <c r="H22" s="5"/>
      <c r="I22" t="e">
        <v>#NUM!</v>
      </c>
      <c r="J22" t="e">
        <v>#NUM!</v>
      </c>
    </row>
    <row r="23" spans="1:10">
      <c r="A23" s="9" t="s">
        <v>58</v>
      </c>
      <c r="B23" s="3" t="s">
        <v>75</v>
      </c>
      <c r="C23" s="24">
        <f t="shared" si="1"/>
        <v>0</v>
      </c>
      <c r="H23" s="5"/>
      <c r="I23" t="e">
        <v>#NUM!</v>
      </c>
      <c r="J23" t="e">
        <v>#NUM!</v>
      </c>
    </row>
    <row r="24" spans="1:10">
      <c r="A24" s="9" t="s">
        <v>48</v>
      </c>
      <c r="B24" s="3" t="s">
        <v>64</v>
      </c>
      <c r="C24" s="24">
        <f>SUMPRODUCT(LEN($A$2)-LEN(SUBSTITUTE($A$2,B24,"")))</f>
        <v>0</v>
      </c>
      <c r="H24" s="5"/>
      <c r="I24" t="e">
        <v>#NUM!</v>
      </c>
      <c r="J24" t="e">
        <v>#NUM!</v>
      </c>
    </row>
    <row r="25" spans="1:10">
      <c r="A25" s="9" t="s">
        <v>58</v>
      </c>
      <c r="B25" s="3" t="s">
        <v>75</v>
      </c>
      <c r="C25" s="24">
        <f>SUMPRODUCT(LEN($A$2)-LEN(SUBSTITUTE($A$2,B25,"")))</f>
        <v>0</v>
      </c>
      <c r="H25" s="5"/>
      <c r="I25" t="e">
        <v>#NUM!</v>
      </c>
      <c r="J25" t="e">
        <v>#NUM!</v>
      </c>
    </row>
    <row r="26" spans="1:10">
      <c r="H26" s="5"/>
      <c r="I26" t="e">
        <v>#NUM!</v>
      </c>
      <c r="J26" t="e">
        <v>#NUM!</v>
      </c>
    </row>
    <row r="27" spans="1:10">
      <c r="H27" s="5"/>
      <c r="I27" t="e">
        <v>#NUM!</v>
      </c>
      <c r="J27" t="e">
        <v>#NUM!</v>
      </c>
    </row>
    <row r="28" spans="1:10">
      <c r="H28" s="5"/>
      <c r="I28" t="e">
        <v>#NUM!</v>
      </c>
      <c r="J28" t="e">
        <v>#NUM!</v>
      </c>
    </row>
    <row r="29" spans="1:10">
      <c r="H29" s="5"/>
      <c r="I29" t="e">
        <v>#NUM!</v>
      </c>
      <c r="J29" t="e">
        <v>#NUM!</v>
      </c>
    </row>
  </sheetData>
  <mergeCells count="4">
    <mergeCell ref="A1:G1"/>
    <mergeCell ref="I1:L1"/>
    <mergeCell ref="A2:G2"/>
    <mergeCell ref="I2:L2"/>
  </mergeCells>
  <conditionalFormatting sqref="M4">
    <cfRule type="containsErrors" dxfId="5" priority="12">
      <formula>ISERROR(M4)</formula>
    </cfRule>
  </conditionalFormatting>
  <conditionalFormatting sqref="C4:C21">
    <cfRule type="cellIs" dxfId="4" priority="21" operator="greaterThan">
      <formula>0</formula>
    </cfRule>
  </conditionalFormatting>
  <conditionalFormatting sqref="C22:C23">
    <cfRule type="cellIs" dxfId="3" priority="2" operator="greaterThan">
      <formula>0</formula>
    </cfRule>
  </conditionalFormatting>
  <conditionalFormatting sqref="C24:C25">
    <cfRule type="cellIs" dxfId="2" priority="1" operator="greaterThan">
      <formula>0</formula>
    </cfRule>
  </conditionalFormatting>
  <conditionalFormatting sqref="N17:N21">
    <cfRule type="containsErrors" dxfId="1" priority="9">
      <formula>ISERROR(N17)</formula>
    </cfRule>
  </conditionalFormatting>
  <conditionalFormatting sqref="I4:J29">
    <cfRule type="containsErrors" dxfId="0" priority="4">
      <formula>ISERROR(I4)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результат</vt:lpstr>
      <vt:lpstr>Сirilico Romano</vt:lpstr>
      <vt:lpstr>цифры 4 5 см</vt:lpstr>
      <vt:lpstr>расчет</vt:lpstr>
      <vt:lpstr>расчет - цифры 4 5 см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zKOT</dc:creator>
  <cp:lastModifiedBy>1</cp:lastModifiedBy>
  <cp:lastPrinted>2026-03-31T08:28:36Z</cp:lastPrinted>
  <dcterms:created xsi:type="dcterms:W3CDTF">2016-11-28T15:44:00Z</dcterms:created>
  <dcterms:modified xsi:type="dcterms:W3CDTF">2026-05-21T11:39:42Z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EA2A0E1646A04483B03DFC204549B95F_13</vt:lpwstr>
  </property>
  <property fmtid="{D5CDD505-2E9C-101B-9397-08002B2CF9AE}" pid="3" name="KSOProductBuildVer">
    <vt:lpwstr>1049-12.2.0.21931</vt:lpwstr>
  </property>
</Properties>
</file>
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827"/>
  <workbookPr/>
  <mc:AlternateContent xmlns:mc="http://schemas.openxmlformats.org/markup-compatibility/2006">
    <mc:Choice Requires="x15">
      <x15ac:absPath xmlns:x15ac="http://schemas.microsoft.com/office/spreadsheetml/2010/11/ac" url="C:\Users\1\Desktop\"/>
    </mc:Choice>
  </mc:AlternateContent>
  <xr:revisionPtr revIDLastSave="0" documentId="13_ncr:1_{4FDF6305-2DA8-4442-97B1-BBAED3CB2F98}" xr6:coauthVersionLast="3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Лист1" sheetId="1" r:id="rId1"/>
  </sheets>
  <definedNames>
    <definedName name="_xlnm._FilterDatabase" localSheetId="0" hidden="1">Лист1!$A$1:$O$154</definedName>
  </definedNames>
  <calcPr calcId="17902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5" i="1" l="1"/>
  <c r="K5" i="1"/>
  <c r="K4" i="1"/>
  <c r="E117" i="1" l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4" i="1"/>
  <c r="E5" i="1"/>
  <c r="E6" i="1"/>
  <c r="E7" i="1"/>
  <c r="E8" i="1"/>
  <c r="E9" i="1"/>
  <c r="E3" i="1"/>
  <c r="E2" i="1"/>
  <c r="H46" i="1"/>
  <c r="F46" i="1"/>
  <c r="I46" i="1"/>
  <c r="F113" i="1" l="1"/>
  <c r="H113" i="1"/>
  <c r="I113" i="1"/>
  <c r="F75" i="1"/>
  <c r="H75" i="1"/>
  <c r="I75" i="1" s="1"/>
  <c r="F68" i="1"/>
  <c r="H68" i="1"/>
  <c r="I68" i="1" s="1"/>
  <c r="F85" i="1"/>
  <c r="H85" i="1"/>
  <c r="I85" i="1" s="1"/>
  <c r="F42" i="1"/>
  <c r="H42" i="1"/>
  <c r="I42" i="1" s="1"/>
  <c r="F14" i="1"/>
  <c r="H14" i="1"/>
  <c r="I14" i="1" s="1"/>
  <c r="F24" i="1"/>
  <c r="H24" i="1"/>
  <c r="I24" i="1" s="1"/>
  <c r="F29" i="1"/>
  <c r="H29" i="1"/>
  <c r="I29" i="1" s="1"/>
  <c r="F12" i="1"/>
  <c r="H12" i="1"/>
  <c r="I12" i="1" s="1"/>
  <c r="H4" i="1" l="1"/>
  <c r="H5" i="1"/>
  <c r="H6" i="1"/>
  <c r="H7" i="1"/>
  <c r="H8" i="1"/>
  <c r="H9" i="1"/>
  <c r="H10" i="1"/>
  <c r="H11" i="1"/>
  <c r="H13" i="1"/>
  <c r="H15" i="1"/>
  <c r="H16" i="1"/>
  <c r="H17" i="1"/>
  <c r="H18" i="1"/>
  <c r="H19" i="1"/>
  <c r="I19" i="1" s="1"/>
  <c r="H20" i="1"/>
  <c r="H21" i="1"/>
  <c r="H22" i="1"/>
  <c r="H23" i="1"/>
  <c r="H25" i="1"/>
  <c r="H26" i="1"/>
  <c r="H27" i="1"/>
  <c r="H28" i="1"/>
  <c r="I28" i="1" s="1"/>
  <c r="H30" i="1"/>
  <c r="H31" i="1"/>
  <c r="H32" i="1"/>
  <c r="H33" i="1"/>
  <c r="H34" i="1"/>
  <c r="H35" i="1"/>
  <c r="H36" i="1"/>
  <c r="H37" i="1"/>
  <c r="I37" i="1" s="1"/>
  <c r="H38" i="1"/>
  <c r="H39" i="1"/>
  <c r="H40" i="1"/>
  <c r="H41" i="1"/>
  <c r="I41" i="1" s="1"/>
  <c r="H43" i="1"/>
  <c r="H44" i="1"/>
  <c r="H45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9" i="1"/>
  <c r="H70" i="1"/>
  <c r="H71" i="1"/>
  <c r="H72" i="1"/>
  <c r="H73" i="1"/>
  <c r="H74" i="1"/>
  <c r="H76" i="1"/>
  <c r="H77" i="1"/>
  <c r="I77" i="1" s="1"/>
  <c r="H78" i="1"/>
  <c r="H79" i="1"/>
  <c r="H80" i="1"/>
  <c r="H81" i="1"/>
  <c r="H82" i="1"/>
  <c r="H83" i="1"/>
  <c r="H84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I98" i="1" s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3" i="1"/>
  <c r="H2" i="1"/>
  <c r="F98" i="1"/>
  <c r="F76" i="1"/>
  <c r="I76" i="1"/>
  <c r="F77" i="1"/>
  <c r="F37" i="1"/>
  <c r="F41" i="1"/>
  <c r="F28" i="1"/>
  <c r="F4" i="1"/>
  <c r="I4" i="1"/>
  <c r="F19" i="1"/>
  <c r="I3" i="1" l="1"/>
  <c r="I5" i="1"/>
  <c r="I6" i="1"/>
  <c r="I7" i="1"/>
  <c r="I8" i="1"/>
  <c r="I9" i="1"/>
  <c r="I10" i="1"/>
  <c r="I11" i="1"/>
  <c r="I13" i="1"/>
  <c r="I15" i="1"/>
  <c r="I16" i="1"/>
  <c r="I17" i="1"/>
  <c r="I18" i="1"/>
  <c r="I20" i="1"/>
  <c r="I21" i="1"/>
  <c r="I22" i="1"/>
  <c r="I23" i="1"/>
  <c r="I25" i="1"/>
  <c r="I26" i="1"/>
  <c r="I27" i="1"/>
  <c r="I30" i="1"/>
  <c r="I31" i="1"/>
  <c r="I32" i="1"/>
  <c r="I33" i="1"/>
  <c r="I34" i="1"/>
  <c r="I35" i="1"/>
  <c r="I36" i="1"/>
  <c r="I38" i="1"/>
  <c r="I39" i="1"/>
  <c r="I40" i="1"/>
  <c r="I43" i="1"/>
  <c r="I44" i="1"/>
  <c r="I45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9" i="1"/>
  <c r="I70" i="1"/>
  <c r="I71" i="1"/>
  <c r="I72" i="1"/>
  <c r="I73" i="1"/>
  <c r="I74" i="1"/>
  <c r="I78" i="1"/>
  <c r="I79" i="1"/>
  <c r="I80" i="1"/>
  <c r="I81" i="1"/>
  <c r="I82" i="1"/>
  <c r="I83" i="1"/>
  <c r="I84" i="1"/>
  <c r="I86" i="1"/>
  <c r="I87" i="1"/>
  <c r="I88" i="1"/>
  <c r="I89" i="1"/>
  <c r="I90" i="1"/>
  <c r="I91" i="1"/>
  <c r="I92" i="1"/>
  <c r="I93" i="1"/>
  <c r="I94" i="1"/>
  <c r="I95" i="1"/>
  <c r="I96" i="1"/>
  <c r="I97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F3" i="1"/>
  <c r="F5" i="1"/>
  <c r="F6" i="1"/>
  <c r="F7" i="1"/>
  <c r="F8" i="1"/>
  <c r="F9" i="1"/>
  <c r="F10" i="1"/>
  <c r="F11" i="1"/>
  <c r="F13" i="1"/>
  <c r="F15" i="1"/>
  <c r="F16" i="1"/>
  <c r="F17" i="1"/>
  <c r="F18" i="1"/>
  <c r="F20" i="1"/>
  <c r="F21" i="1"/>
  <c r="F22" i="1"/>
  <c r="F23" i="1"/>
  <c r="F25" i="1"/>
  <c r="F26" i="1"/>
  <c r="F27" i="1"/>
  <c r="F30" i="1"/>
  <c r="F31" i="1"/>
  <c r="F32" i="1"/>
  <c r="F33" i="1"/>
  <c r="F34" i="1"/>
  <c r="F35" i="1"/>
  <c r="F36" i="1"/>
  <c r="F38" i="1"/>
  <c r="F39" i="1"/>
  <c r="F40" i="1"/>
  <c r="F43" i="1"/>
  <c r="F44" i="1"/>
  <c r="F45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9" i="1"/>
  <c r="F70" i="1"/>
  <c r="F71" i="1"/>
  <c r="F72" i="1"/>
  <c r="F73" i="1"/>
  <c r="F74" i="1"/>
  <c r="F78" i="1"/>
  <c r="F79" i="1"/>
  <c r="F80" i="1"/>
  <c r="F81" i="1"/>
  <c r="F82" i="1"/>
  <c r="F83" i="1"/>
  <c r="F84" i="1"/>
  <c r="F86" i="1"/>
  <c r="F87" i="1"/>
  <c r="F88" i="1"/>
  <c r="F89" i="1"/>
  <c r="F90" i="1"/>
  <c r="F91" i="1"/>
  <c r="F92" i="1"/>
  <c r="F93" i="1"/>
  <c r="F94" i="1"/>
  <c r="F95" i="1"/>
  <c r="F96" i="1"/>
  <c r="F97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2" i="1" l="1"/>
  <c r="I2" i="1"/>
</calcChain>
</file>

<file path=xl/sharedStrings.xml><?xml version="1.0" encoding="utf-8"?>
<sst xmlns="http://schemas.openxmlformats.org/spreadsheetml/2006/main" count="184" uniqueCount="76">
  <si>
    <t>Артикул</t>
  </si>
  <si>
    <t>Наименование</t>
  </si>
  <si>
    <t>Остаток на 1 число месяца</t>
  </si>
  <si>
    <t>Расход</t>
  </si>
  <si>
    <t>Заказано у поставщика</t>
  </si>
  <si>
    <t>Резерв</t>
  </si>
  <si>
    <t>Планируемое наличие</t>
  </si>
  <si>
    <t>Размер</t>
  </si>
  <si>
    <t>Крест</t>
  </si>
  <si>
    <t>Крест с распятием</t>
  </si>
  <si>
    <t>Крест православный</t>
  </si>
  <si>
    <t>Крест православный с расп</t>
  </si>
  <si>
    <t>Табличка Ангел</t>
  </si>
  <si>
    <t xml:space="preserve">Табличка </t>
  </si>
  <si>
    <t>Распятие</t>
  </si>
  <si>
    <t>Звезда</t>
  </si>
  <si>
    <t>Статуя мадонны</t>
  </si>
  <si>
    <t>Роза</t>
  </si>
  <si>
    <t>Птичка на ветке</t>
  </si>
  <si>
    <t>Виноград</t>
  </si>
  <si>
    <t>Крест хром</t>
  </si>
  <si>
    <t>Распятие хром</t>
  </si>
  <si>
    <t>30 053с</t>
  </si>
  <si>
    <t>Рамка на ножке</t>
  </si>
  <si>
    <t xml:space="preserve">         21 015с</t>
  </si>
  <si>
    <t xml:space="preserve">         21 256с</t>
  </si>
  <si>
    <t>19768с</t>
  </si>
  <si>
    <t>Рамка овальная хром</t>
  </si>
  <si>
    <t>19377с</t>
  </si>
  <si>
    <t>Рамка овальная с бороздкой хром</t>
  </si>
  <si>
    <t xml:space="preserve">Рамка овальная </t>
  </si>
  <si>
    <t>Рамка овальная</t>
  </si>
  <si>
    <t>Рамка овальная с бороздкой</t>
  </si>
  <si>
    <t>Рамка прямоугольная с бороздкой</t>
  </si>
  <si>
    <t>Рамка прямоугольная</t>
  </si>
  <si>
    <t>Рамка прямоугольная с бороздкой хром</t>
  </si>
  <si>
    <t xml:space="preserve">Рамка прямоугольная </t>
  </si>
  <si>
    <t>Рамка прямоугольная хром</t>
  </si>
  <si>
    <t>Крест с розой</t>
  </si>
  <si>
    <t>РАМКА ОВАЛЬНАЯ "DRAPPO"</t>
  </si>
  <si>
    <t>Статуя АНГЕЛ</t>
  </si>
  <si>
    <t>ВАЗА" LUNA"</t>
  </si>
  <si>
    <t>ВАЗА</t>
  </si>
  <si>
    <t>ВАЗА "ORCHIDEA"</t>
  </si>
  <si>
    <t>ВАЗА "SIVIGLIA"</t>
  </si>
  <si>
    <t>ВАЗА "CALICE"</t>
  </si>
  <si>
    <t>ВАЗА "CALICE" CLASSIC</t>
  </si>
  <si>
    <t>ВАЗА "CALICE"Х CLASSIC</t>
  </si>
  <si>
    <t>ВАЗА ЕВРОПА</t>
  </si>
  <si>
    <t>ВАЗА "ВЕРСАЛЬ"</t>
  </si>
  <si>
    <t>20R</t>
  </si>
  <si>
    <t>20P</t>
  </si>
  <si>
    <t>25P</t>
  </si>
  <si>
    <t>ЛАМПАДА "ORCHIDEA"</t>
  </si>
  <si>
    <t>ЛАМПАДА "OLMO"</t>
  </si>
  <si>
    <t>ЛАМПАДА</t>
  </si>
  <si>
    <t>ЛАМПАДА CERO T.BR.</t>
  </si>
  <si>
    <t>ЛАМПАДА "COLOMBO"</t>
  </si>
  <si>
    <t>ЛАМПАДА "CALICE"</t>
  </si>
  <si>
    <t>ЛАМПАДА "CALICE" CLASSIC</t>
  </si>
  <si>
    <t>ЛАМПАДА "CERO"</t>
  </si>
  <si>
    <t>ЛАМПАДА "ФИОРЕ ЛАЙН"</t>
  </si>
  <si>
    <t>ЛАМПАДА "ЕВРОПА"</t>
  </si>
  <si>
    <t>ЛАМПАДА "ВЕРСАЛЬ"</t>
  </si>
  <si>
    <t>Р0 739</t>
  </si>
  <si>
    <t>ВАЗА "FIORE"</t>
  </si>
  <si>
    <t>Наличие, шт</t>
  </si>
  <si>
    <t>Цена прайс опт, евро</t>
  </si>
  <si>
    <t xml:space="preserve">Цена прайс опт, бел.р. </t>
  </si>
  <si>
    <t>Цена каталога, евро</t>
  </si>
  <si>
    <t>Себестоимость, евро</t>
  </si>
  <si>
    <t>Себестоимость, бел руб</t>
  </si>
  <si>
    <t>Себес по 1С, бел.р</t>
  </si>
  <si>
    <t>29 132с</t>
  </si>
  <si>
    <t>Анютины глазки</t>
  </si>
  <si>
    <t>Рамка прямоугольная на ножке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</si>
</sst>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  <charset val="204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3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1" fontId="1" fillId="0" borderId="1" xfId="0" applyNumberFormat="1" applyFont="1" applyBorder="1" applyAlignment="1">
      <alignment horizontal="center"/>
    </xf>
    <xf numFmtId="2" fontId="1" fillId="0" borderId="1" xfId="0" applyNumberFormat="1" applyFont="1" applyBorder="1" applyAlignment="1">
      <alignment horizontal="center"/>
    </xf>
    <xf numFmtId="3" fontId="1" fillId="2" borderId="1" xfId="0" applyNumberFormat="1" applyFont="1" applyFill="1" applyBorder="1" applyAlignment="1">
      <alignment horizontal="center"/>
    </xf>
    <xf numFmtId="1" fontId="1" fillId="0" borderId="0" xfId="0" applyNumberFormat="1" applyFont="1" applyBorder="1" applyAlignment="1">
      <alignment horizontal="center"/>
    </xf>
    <xf numFmtId="1" fontId="1" fillId="0" borderId="1" xfId="0" applyNumberFormat="1" applyFont="1" applyFill="1" applyBorder="1" applyAlignment="1">
      <alignment horizontal="center"/>
    </xf>
    <xf numFmtId="2" fontId="1" fillId="0" borderId="1" xfId="0" applyNumberFormat="1" applyFont="1" applyFill="1" applyBorder="1" applyAlignment="1">
      <alignment horizontal="center"/>
    </xf>
    <xf numFmtId="1" fontId="1" fillId="0" borderId="0" xfId="0" applyNumberFormat="1" applyFont="1" applyFill="1" applyBorder="1" applyAlignment="1">
      <alignment horizontal="center"/>
    </xf>
    <xf numFmtId="0" fontId="1" fillId="0" borderId="0" xfId="0" applyFont="1" applyFill="1"/>
    <xf numFmtId="0" fontId="1" fillId="2" borderId="1" xfId="0" applyFont="1" applyFill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54"/>
  <sheetViews>
    <sheetView tabSelected="1" workbookViewId="0">
      <pane ySplit="1" topLeftCell="A2" activePane="bottomLeft" state="frozen"/>
      <selection pane="bottomLeft" activeCell="L5" sqref="L5"/>
    </sheetView>
  </sheetViews>
  <sheetFormatPr defaultRowHeight="15.75" x14ac:dyDescent="0.25"/>
  <cols>
    <col min="1" max="2" width="13.42578125" style="1" customWidth="1"/>
    <col min="3" max="3" width="39.5703125" style="1" customWidth="1"/>
    <col min="4" max="4" width="8" style="1" customWidth="1"/>
    <col min="5" max="5" width="12.28515625" style="1" customWidth="1"/>
    <col min="6" max="6" width="13" style="1" customWidth="1"/>
    <col min="7" max="7" width="17.7109375" style="1" customWidth="1"/>
    <col min="8" max="9" width="9.28515625" style="1" customWidth="1"/>
    <col min="10" max="10" width="11" style="1" customWidth="1"/>
    <col min="11" max="11" width="16.140625" style="1" customWidth="1"/>
    <col min="12" max="12" width="17.42578125" style="1" customWidth="1"/>
    <col min="13" max="14" width="17" style="1" customWidth="1"/>
    <col min="15" max="15" width="16.28515625" style="1" customWidth="1"/>
    <col min="16" max="16384" width="9.140625" style="1"/>
  </cols>
  <sheetData>
    <row r="1" spans="1:15" s="2" customFormat="1" ht="47.25" customHeight="1" x14ac:dyDescent="0.25">
      <c r="A1" s="2" t="s">
        <v>0</v>
      </c>
      <c r="B1" s="2" t="s">
        <v>7</v>
      </c>
      <c r="C1" s="2" t="s">
        <v>1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  <c r="I1" s="2" t="s">
        <v>71</v>
      </c>
      <c r="J1" s="2" t="s">
        <v>72</v>
      </c>
      <c r="K1" s="2" t="s">
        <v>2</v>
      </c>
      <c r="L1" s="2" t="s">
        <v>3</v>
      </c>
      <c r="M1" s="2" t="s">
        <v>4</v>
      </c>
      <c r="N1" s="2" t="s">
        <v>5</v>
      </c>
      <c r="O1" s="2" t="s">
        <v>6</v>
      </c>
    </row>
    <row r="2" spans="1:15" x14ac:dyDescent="0.25">
      <c r="A2" s="7">
        <v>90322</v>
      </c>
      <c r="B2" s="13">
        <v>20</v>
      </c>
      <c r="C2" s="13" t="s">
        <v>8</v>
      </c>
      <c r="D2" s="13">
        <v>21</v>
      </c>
      <c r="E2" s="5">
        <f>G2*0.6</f>
        <v>60</v>
      </c>
      <c r="F2" s="5">
        <f>E2*3.5</f>
        <v>210</v>
      </c>
      <c r="G2" s="6">
        <v>100</v>
      </c>
      <c r="H2" s="5">
        <f>(G2*1.04/1.2*0.5*0.7*0.9)*1.45</f>
        <v>39.585000000000001</v>
      </c>
      <c r="I2" s="5">
        <f>H2*3.5</f>
        <v>138.54750000000001</v>
      </c>
      <c r="J2" s="8"/>
    </row>
    <row r="3" spans="1:15" x14ac:dyDescent="0.25">
      <c r="A3" s="7">
        <v>23293</v>
      </c>
      <c r="B3" s="13">
        <v>30</v>
      </c>
      <c r="C3" s="13" t="s">
        <v>8</v>
      </c>
      <c r="D3" s="13">
        <v>6</v>
      </c>
      <c r="E3" s="5">
        <f>G3*0.6</f>
        <v>68.885999999999996</v>
      </c>
      <c r="F3" s="5">
        <f t="shared" ref="F3:F80" si="0">E3*3.5</f>
        <v>241.101</v>
      </c>
      <c r="G3" s="6">
        <v>114.81</v>
      </c>
      <c r="H3" s="5">
        <f>(G3*1.04/1.2*0.5*0.7*0.9)*1.45</f>
        <v>45.447538499999993</v>
      </c>
      <c r="I3" s="5">
        <f t="shared" ref="I3:I80" si="1">H3*3.5</f>
        <v>159.06638474999997</v>
      </c>
      <c r="J3" s="8"/>
    </row>
    <row r="4" spans="1:15" x14ac:dyDescent="0.25">
      <c r="A4" s="7">
        <v>23030</v>
      </c>
      <c r="B4" s="13">
        <v>15</v>
      </c>
      <c r="C4" s="13" t="s">
        <v>8</v>
      </c>
      <c r="D4" s="13">
        <v>1</v>
      </c>
      <c r="E4" s="5">
        <f t="shared" ref="E4:E67" si="2">G4*0.6</f>
        <v>28.367999999999999</v>
      </c>
      <c r="F4" s="5">
        <f t="shared" si="0"/>
        <v>99.287999999999997</v>
      </c>
      <c r="G4" s="6">
        <v>47.28</v>
      </c>
      <c r="H4" s="5">
        <f t="shared" ref="H4:H75" si="3">(G4*1.04/1.2*0.5*0.7*0.9)*1.45</f>
        <v>18.715788</v>
      </c>
      <c r="I4" s="5">
        <f t="shared" si="1"/>
        <v>65.505257999999998</v>
      </c>
      <c r="J4" s="8"/>
      <c r="K4" s="1">
        <f>G2*1.04</f>
        <v>104</v>
      </c>
    </row>
    <row r="5" spans="1:15" x14ac:dyDescent="0.25">
      <c r="A5" s="7">
        <v>23030</v>
      </c>
      <c r="B5" s="13">
        <v>30</v>
      </c>
      <c r="C5" s="13" t="s">
        <v>8</v>
      </c>
      <c r="D5" s="13">
        <v>3</v>
      </c>
      <c r="E5" s="5">
        <f t="shared" si="2"/>
        <v>63.695999999999998</v>
      </c>
      <c r="F5" s="5">
        <f t="shared" si="0"/>
        <v>222.93599999999998</v>
      </c>
      <c r="G5" s="6">
        <v>106.16</v>
      </c>
      <c r="H5" s="5">
        <f t="shared" si="3"/>
        <v>42.023435999999997</v>
      </c>
      <c r="I5" s="5">
        <f t="shared" si="1"/>
        <v>147.08202599999998</v>
      </c>
      <c r="J5" s="8"/>
      <c r="K5" s="1">
        <f>G2*0.6</f>
        <v>60</v>
      </c>
      <c r="L5" s="1">
        <f>K5/H2</f>
        <v>1.5157256536566881</v>
      </c>
    </row>
    <row r="6" spans="1:15" x14ac:dyDescent="0.25">
      <c r="A6" s="7">
        <v>23098</v>
      </c>
      <c r="B6" s="13">
        <v>15</v>
      </c>
      <c r="C6" s="13" t="s">
        <v>8</v>
      </c>
      <c r="D6" s="13">
        <v>26</v>
      </c>
      <c r="E6" s="5">
        <f t="shared" si="2"/>
        <v>15.035999999999998</v>
      </c>
      <c r="F6" s="5">
        <f t="shared" si="0"/>
        <v>52.625999999999991</v>
      </c>
      <c r="G6" s="6">
        <v>25.06</v>
      </c>
      <c r="H6" s="5">
        <f t="shared" si="3"/>
        <v>9.9200009999999992</v>
      </c>
      <c r="I6" s="5">
        <f t="shared" si="1"/>
        <v>34.720003499999997</v>
      </c>
      <c r="J6" s="8"/>
    </row>
    <row r="7" spans="1:15" x14ac:dyDescent="0.25">
      <c r="A7" s="7">
        <v>23030</v>
      </c>
      <c r="B7" s="13">
        <v>25</v>
      </c>
      <c r="C7" s="13" t="s">
        <v>8</v>
      </c>
      <c r="D7" s="13">
        <v>1</v>
      </c>
      <c r="E7" s="5">
        <f t="shared" si="2"/>
        <v>45.198</v>
      </c>
      <c r="F7" s="5">
        <f t="shared" si="0"/>
        <v>158.19300000000001</v>
      </c>
      <c r="G7" s="6">
        <v>75.33</v>
      </c>
      <c r="H7" s="5">
        <f t="shared" si="3"/>
        <v>29.819380499999998</v>
      </c>
      <c r="I7" s="5">
        <f t="shared" si="1"/>
        <v>104.36783174999999</v>
      </c>
      <c r="J7" s="8"/>
    </row>
    <row r="8" spans="1:15" x14ac:dyDescent="0.25">
      <c r="A8" s="7">
        <v>23030</v>
      </c>
      <c r="B8" s="13">
        <v>20</v>
      </c>
      <c r="C8" s="13" t="s">
        <v>8</v>
      </c>
      <c r="D8" s="13">
        <v>9</v>
      </c>
      <c r="E8" s="5">
        <f t="shared" si="2"/>
        <v>38.225999999999999</v>
      </c>
      <c r="F8" s="5">
        <f t="shared" si="0"/>
        <v>133.791</v>
      </c>
      <c r="G8" s="6">
        <v>63.71</v>
      </c>
      <c r="H8" s="5">
        <f t="shared" si="3"/>
        <v>25.219603499999998</v>
      </c>
      <c r="I8" s="5">
        <f t="shared" si="1"/>
        <v>88.26861224999999</v>
      </c>
      <c r="J8" s="8"/>
    </row>
    <row r="9" spans="1:15" x14ac:dyDescent="0.25">
      <c r="A9" s="7">
        <v>23071</v>
      </c>
      <c r="B9" s="13">
        <v>40</v>
      </c>
      <c r="C9" s="13" t="s">
        <v>10</v>
      </c>
      <c r="D9" s="13">
        <v>7</v>
      </c>
      <c r="E9" s="5">
        <f t="shared" si="2"/>
        <v>108</v>
      </c>
      <c r="F9" s="5">
        <f t="shared" si="0"/>
        <v>378</v>
      </c>
      <c r="G9" s="6">
        <v>180</v>
      </c>
      <c r="H9" s="5">
        <f t="shared" si="3"/>
        <v>71.253000000000014</v>
      </c>
      <c r="I9" s="5">
        <f t="shared" si="1"/>
        <v>249.38550000000004</v>
      </c>
      <c r="J9" s="8"/>
    </row>
    <row r="10" spans="1:15" x14ac:dyDescent="0.25">
      <c r="A10" s="7">
        <v>23082</v>
      </c>
      <c r="B10" s="13">
        <v>15</v>
      </c>
      <c r="C10" s="13" t="s">
        <v>8</v>
      </c>
      <c r="D10" s="13">
        <v>1</v>
      </c>
      <c r="E10" s="5">
        <f t="shared" si="2"/>
        <v>48</v>
      </c>
      <c r="F10" s="5">
        <f t="shared" si="0"/>
        <v>168</v>
      </c>
      <c r="G10" s="6">
        <v>80</v>
      </c>
      <c r="H10" s="5">
        <f t="shared" si="3"/>
        <v>31.668000000000003</v>
      </c>
      <c r="I10" s="5">
        <f t="shared" si="1"/>
        <v>110.83800000000001</v>
      </c>
      <c r="J10" s="8"/>
    </row>
    <row r="11" spans="1:15" x14ac:dyDescent="0.25">
      <c r="A11" s="7">
        <v>23082</v>
      </c>
      <c r="B11" s="13">
        <v>40</v>
      </c>
      <c r="C11" s="13" t="s">
        <v>10</v>
      </c>
      <c r="D11" s="13">
        <v>20</v>
      </c>
      <c r="E11" s="5">
        <f t="shared" si="2"/>
        <v>90</v>
      </c>
      <c r="F11" s="5">
        <f t="shared" si="0"/>
        <v>315</v>
      </c>
      <c r="G11" s="6">
        <v>150</v>
      </c>
      <c r="H11" s="5">
        <f t="shared" si="3"/>
        <v>59.377500000000005</v>
      </c>
      <c r="I11" s="5">
        <f t="shared" si="1"/>
        <v>207.82125000000002</v>
      </c>
      <c r="J11" s="8"/>
    </row>
    <row r="12" spans="1:15" x14ac:dyDescent="0.25">
      <c r="A12" s="7">
        <v>23090</v>
      </c>
      <c r="B12" s="13">
        <v>20</v>
      </c>
      <c r="C12" s="13" t="s">
        <v>10</v>
      </c>
      <c r="D12" s="13">
        <v>1</v>
      </c>
      <c r="E12" s="5">
        <f t="shared" si="2"/>
        <v>52.68</v>
      </c>
      <c r="F12" s="5">
        <f t="shared" si="0"/>
        <v>184.38</v>
      </c>
      <c r="G12" s="6">
        <v>87.8</v>
      </c>
      <c r="H12" s="5">
        <f t="shared" si="3"/>
        <v>34.755629999999996</v>
      </c>
      <c r="I12" s="5">
        <f t="shared" si="1"/>
        <v>121.64470499999999</v>
      </c>
      <c r="J12" s="8"/>
    </row>
    <row r="13" spans="1:15" x14ac:dyDescent="0.25">
      <c r="A13" s="7">
        <v>23090</v>
      </c>
      <c r="B13" s="13">
        <v>40</v>
      </c>
      <c r="C13" s="13" t="s">
        <v>10</v>
      </c>
      <c r="D13" s="13">
        <v>26</v>
      </c>
      <c r="E13" s="5">
        <f t="shared" si="2"/>
        <v>96</v>
      </c>
      <c r="F13" s="5">
        <f t="shared" si="0"/>
        <v>336</v>
      </c>
      <c r="G13" s="6">
        <v>160</v>
      </c>
      <c r="H13" s="5">
        <f t="shared" si="3"/>
        <v>63.336000000000006</v>
      </c>
      <c r="I13" s="5">
        <f t="shared" si="1"/>
        <v>221.67600000000002</v>
      </c>
      <c r="J13" s="8"/>
    </row>
    <row r="14" spans="1:15" x14ac:dyDescent="0.25">
      <c r="A14" s="7">
        <v>23338</v>
      </c>
      <c r="B14" s="13">
        <v>30</v>
      </c>
      <c r="C14" s="13" t="s">
        <v>8</v>
      </c>
      <c r="D14" s="13">
        <v>19</v>
      </c>
      <c r="E14" s="5">
        <f t="shared" si="2"/>
        <v>68.885999999999996</v>
      </c>
      <c r="F14" s="5">
        <f t="shared" si="0"/>
        <v>241.101</v>
      </c>
      <c r="G14" s="6">
        <v>114.81</v>
      </c>
      <c r="H14" s="5">
        <f t="shared" si="3"/>
        <v>45.447538499999993</v>
      </c>
      <c r="I14" s="5">
        <f t="shared" si="1"/>
        <v>159.06638474999997</v>
      </c>
      <c r="J14" s="8"/>
    </row>
    <row r="15" spans="1:15" x14ac:dyDescent="0.25">
      <c r="A15" s="7">
        <v>23338</v>
      </c>
      <c r="B15" s="13">
        <v>40</v>
      </c>
      <c r="C15" s="13" t="s">
        <v>8</v>
      </c>
      <c r="D15" s="13">
        <v>11</v>
      </c>
      <c r="E15" s="5">
        <f t="shared" si="2"/>
        <v>93.809999999999988</v>
      </c>
      <c r="F15" s="5">
        <f t="shared" si="0"/>
        <v>328.33499999999998</v>
      </c>
      <c r="G15" s="6">
        <v>156.35</v>
      </c>
      <c r="H15" s="5">
        <f t="shared" si="3"/>
        <v>61.891147500000017</v>
      </c>
      <c r="I15" s="5">
        <f t="shared" si="1"/>
        <v>216.61901625000007</v>
      </c>
      <c r="J15" s="8"/>
    </row>
    <row r="16" spans="1:15" x14ac:dyDescent="0.25">
      <c r="A16" s="7">
        <v>23338</v>
      </c>
      <c r="B16" s="13">
        <v>50</v>
      </c>
      <c r="C16" s="13" t="s">
        <v>8</v>
      </c>
      <c r="D16" s="13">
        <v>6</v>
      </c>
      <c r="E16" s="5">
        <f t="shared" si="2"/>
        <v>116.78999999999999</v>
      </c>
      <c r="F16" s="5">
        <f t="shared" si="0"/>
        <v>408.76499999999999</v>
      </c>
      <c r="G16" s="6">
        <v>194.65</v>
      </c>
      <c r="H16" s="5">
        <f t="shared" si="3"/>
        <v>77.052202500000007</v>
      </c>
      <c r="I16" s="5">
        <f t="shared" si="1"/>
        <v>269.68270875000002</v>
      </c>
      <c r="J16" s="8"/>
    </row>
    <row r="17" spans="1:10" x14ac:dyDescent="0.25">
      <c r="A17" s="7">
        <v>23533</v>
      </c>
      <c r="B17" s="13">
        <v>16</v>
      </c>
      <c r="C17" s="13" t="s">
        <v>20</v>
      </c>
      <c r="D17" s="13">
        <v>3</v>
      </c>
      <c r="E17" s="5">
        <f t="shared" si="2"/>
        <v>54.48</v>
      </c>
      <c r="F17" s="5">
        <f t="shared" si="0"/>
        <v>190.67999999999998</v>
      </c>
      <c r="G17" s="4">
        <v>90.8</v>
      </c>
      <c r="H17" s="5">
        <f t="shared" si="3"/>
        <v>35.943180000000005</v>
      </c>
      <c r="I17" s="5">
        <f t="shared" si="1"/>
        <v>125.80113000000001</v>
      </c>
      <c r="J17" s="8"/>
    </row>
    <row r="18" spans="1:10" x14ac:dyDescent="0.25">
      <c r="A18" s="7">
        <v>23293</v>
      </c>
      <c r="B18" s="13">
        <v>20</v>
      </c>
      <c r="C18" s="13" t="s">
        <v>8</v>
      </c>
      <c r="D18" s="13">
        <v>12</v>
      </c>
      <c r="E18" s="5">
        <f t="shared" si="2"/>
        <v>43.727999999999994</v>
      </c>
      <c r="F18" s="5">
        <f t="shared" si="0"/>
        <v>153.04799999999997</v>
      </c>
      <c r="G18" s="6">
        <v>72.88</v>
      </c>
      <c r="H18" s="5">
        <f t="shared" si="3"/>
        <v>28.849547999999999</v>
      </c>
      <c r="I18" s="5">
        <f t="shared" si="1"/>
        <v>100.973418</v>
      </c>
      <c r="J18" s="8"/>
    </row>
    <row r="19" spans="1:10" x14ac:dyDescent="0.25">
      <c r="A19" s="7">
        <v>23296</v>
      </c>
      <c r="B19" s="13">
        <v>15</v>
      </c>
      <c r="C19" s="13" t="s">
        <v>8</v>
      </c>
      <c r="D19" s="13">
        <v>4</v>
      </c>
      <c r="E19" s="5">
        <f t="shared" si="2"/>
        <v>37.223999999999997</v>
      </c>
      <c r="F19" s="5">
        <f t="shared" si="0"/>
        <v>130.28399999999999</v>
      </c>
      <c r="G19" s="6">
        <v>62.04</v>
      </c>
      <c r="H19" s="5">
        <f t="shared" si="3"/>
        <v>24.558534000000005</v>
      </c>
      <c r="I19" s="5">
        <f t="shared" si="1"/>
        <v>85.954869000000016</v>
      </c>
      <c r="J19" s="8"/>
    </row>
    <row r="20" spans="1:10" x14ac:dyDescent="0.25">
      <c r="A20" s="7">
        <v>23316</v>
      </c>
      <c r="B20" s="13">
        <v>20</v>
      </c>
      <c r="C20" s="13" t="s">
        <v>8</v>
      </c>
      <c r="D20" s="13">
        <v>3</v>
      </c>
      <c r="E20" s="5">
        <f t="shared" si="2"/>
        <v>52.511999999999993</v>
      </c>
      <c r="F20" s="5">
        <f t="shared" si="0"/>
        <v>183.79199999999997</v>
      </c>
      <c r="G20" s="6">
        <v>87.52</v>
      </c>
      <c r="H20" s="5">
        <f t="shared" si="3"/>
        <v>34.644792000000002</v>
      </c>
      <c r="I20" s="5">
        <f t="shared" si="1"/>
        <v>121.25677200000001</v>
      </c>
      <c r="J20" s="8"/>
    </row>
    <row r="21" spans="1:10" x14ac:dyDescent="0.25">
      <c r="A21" s="7">
        <v>23320</v>
      </c>
      <c r="B21" s="13">
        <v>30</v>
      </c>
      <c r="C21" s="13" t="s">
        <v>8</v>
      </c>
      <c r="D21" s="13">
        <v>2</v>
      </c>
      <c r="E21" s="5">
        <f t="shared" si="2"/>
        <v>67.625999999999991</v>
      </c>
      <c r="F21" s="5">
        <f t="shared" si="0"/>
        <v>236.69099999999997</v>
      </c>
      <c r="G21" s="6">
        <v>112.71</v>
      </c>
      <c r="H21" s="5">
        <f t="shared" si="3"/>
        <v>44.616253499999999</v>
      </c>
      <c r="I21" s="5">
        <f t="shared" si="1"/>
        <v>156.15688725000001</v>
      </c>
      <c r="J21" s="8"/>
    </row>
    <row r="22" spans="1:10" x14ac:dyDescent="0.25">
      <c r="A22" s="7">
        <v>23320</v>
      </c>
      <c r="B22" s="13">
        <v>40</v>
      </c>
      <c r="C22" s="13" t="s">
        <v>8</v>
      </c>
      <c r="D22" s="13">
        <v>3</v>
      </c>
      <c r="E22" s="5">
        <f t="shared" si="2"/>
        <v>91.944000000000003</v>
      </c>
      <c r="F22" s="5">
        <f t="shared" si="0"/>
        <v>321.80400000000003</v>
      </c>
      <c r="G22" s="4">
        <v>153.24</v>
      </c>
      <c r="H22" s="5">
        <f t="shared" si="3"/>
        <v>60.660054000000002</v>
      </c>
      <c r="I22" s="5">
        <f t="shared" si="1"/>
        <v>212.31018900000001</v>
      </c>
      <c r="J22" s="8"/>
    </row>
    <row r="23" spans="1:10" x14ac:dyDescent="0.25">
      <c r="A23" s="7">
        <v>23533</v>
      </c>
      <c r="B23" s="13">
        <v>20</v>
      </c>
      <c r="C23" s="13" t="s">
        <v>8</v>
      </c>
      <c r="D23" s="13">
        <v>6</v>
      </c>
      <c r="E23" s="5">
        <f t="shared" si="2"/>
        <v>38.225999999999999</v>
      </c>
      <c r="F23" s="5">
        <f t="shared" si="0"/>
        <v>133.791</v>
      </c>
      <c r="G23" s="6">
        <v>63.71</v>
      </c>
      <c r="H23" s="5">
        <f t="shared" si="3"/>
        <v>25.219603499999998</v>
      </c>
      <c r="I23" s="5">
        <f t="shared" si="1"/>
        <v>88.26861224999999</v>
      </c>
      <c r="J23" s="8"/>
    </row>
    <row r="24" spans="1:10" x14ac:dyDescent="0.25">
      <c r="A24" s="7">
        <v>23533</v>
      </c>
      <c r="B24" s="13">
        <v>30</v>
      </c>
      <c r="C24" s="13" t="s">
        <v>8</v>
      </c>
      <c r="D24" s="13">
        <v>4</v>
      </c>
      <c r="E24" s="5">
        <f t="shared" si="2"/>
        <v>51.108000000000004</v>
      </c>
      <c r="F24" s="5">
        <f t="shared" si="0"/>
        <v>178.87800000000001</v>
      </c>
      <c r="G24" s="6">
        <v>85.18</v>
      </c>
      <c r="H24" s="5">
        <f t="shared" si="3"/>
        <v>33.718503000000005</v>
      </c>
      <c r="I24" s="5">
        <f t="shared" si="1"/>
        <v>118.01476050000002</v>
      </c>
      <c r="J24" s="8"/>
    </row>
    <row r="25" spans="1:10" x14ac:dyDescent="0.25">
      <c r="A25" s="7">
        <v>24215</v>
      </c>
      <c r="B25" s="13">
        <v>15</v>
      </c>
      <c r="C25" s="13" t="s">
        <v>8</v>
      </c>
      <c r="D25" s="13">
        <v>4</v>
      </c>
      <c r="E25" s="5">
        <f t="shared" si="2"/>
        <v>28.884</v>
      </c>
      <c r="F25" s="5">
        <f t="shared" si="0"/>
        <v>101.09399999999999</v>
      </c>
      <c r="G25" s="6">
        <v>48.14</v>
      </c>
      <c r="H25" s="5">
        <f t="shared" si="3"/>
        <v>19.056219000000002</v>
      </c>
      <c r="I25" s="5">
        <f t="shared" si="1"/>
        <v>66.69676650000001</v>
      </c>
      <c r="J25" s="8"/>
    </row>
    <row r="26" spans="1:10" x14ac:dyDescent="0.25">
      <c r="A26" s="7">
        <v>24215</v>
      </c>
      <c r="B26" s="13">
        <v>40</v>
      </c>
      <c r="C26" s="13" t="s">
        <v>8</v>
      </c>
      <c r="D26" s="13">
        <v>2</v>
      </c>
      <c r="E26" s="5">
        <f t="shared" si="2"/>
        <v>68.885999999999996</v>
      </c>
      <c r="F26" s="5">
        <f t="shared" si="0"/>
        <v>241.101</v>
      </c>
      <c r="G26" s="6">
        <v>114.81</v>
      </c>
      <c r="H26" s="5">
        <f t="shared" si="3"/>
        <v>45.447538499999993</v>
      </c>
      <c r="I26" s="5">
        <f t="shared" si="1"/>
        <v>159.06638474999997</v>
      </c>
      <c r="J26" s="8"/>
    </row>
    <row r="27" spans="1:10" x14ac:dyDescent="0.25">
      <c r="A27" s="7">
        <v>24237</v>
      </c>
      <c r="B27" s="13">
        <v>15</v>
      </c>
      <c r="C27" s="13" t="s">
        <v>8</v>
      </c>
      <c r="D27" s="13">
        <v>9</v>
      </c>
      <c r="E27" s="5">
        <f t="shared" si="2"/>
        <v>37.223999999999997</v>
      </c>
      <c r="F27" s="5">
        <f t="shared" si="0"/>
        <v>130.28399999999999</v>
      </c>
      <c r="G27" s="6">
        <v>62.04</v>
      </c>
      <c r="H27" s="5">
        <f t="shared" si="3"/>
        <v>24.558534000000005</v>
      </c>
      <c r="I27" s="5">
        <f t="shared" si="1"/>
        <v>85.954869000000016</v>
      </c>
      <c r="J27" s="8"/>
    </row>
    <row r="28" spans="1:10" x14ac:dyDescent="0.25">
      <c r="A28" s="7">
        <v>24237</v>
      </c>
      <c r="B28" s="13">
        <v>20</v>
      </c>
      <c r="C28" s="13" t="s">
        <v>8</v>
      </c>
      <c r="D28" s="13">
        <v>7</v>
      </c>
      <c r="E28" s="5">
        <f t="shared" si="2"/>
        <v>48.881999999999998</v>
      </c>
      <c r="F28" s="5">
        <f t="shared" si="0"/>
        <v>171.08699999999999</v>
      </c>
      <c r="G28" s="6">
        <v>81.47</v>
      </c>
      <c r="H28" s="5">
        <f t="shared" si="3"/>
        <v>32.249899500000005</v>
      </c>
      <c r="I28" s="5">
        <f t="shared" si="1"/>
        <v>112.87464825000002</v>
      </c>
      <c r="J28" s="8"/>
    </row>
    <row r="29" spans="1:10" x14ac:dyDescent="0.25">
      <c r="A29" s="7">
        <v>24237</v>
      </c>
      <c r="B29" s="13">
        <v>25</v>
      </c>
      <c r="C29" s="13" t="s">
        <v>8</v>
      </c>
      <c r="D29" s="13">
        <v>13</v>
      </c>
      <c r="E29" s="5">
        <f t="shared" si="2"/>
        <v>56.195999999999998</v>
      </c>
      <c r="F29" s="5">
        <f t="shared" si="0"/>
        <v>196.68599999999998</v>
      </c>
      <c r="G29" s="6">
        <v>93.66</v>
      </c>
      <c r="H29" s="5">
        <f t="shared" si="3"/>
        <v>37.075311000000006</v>
      </c>
      <c r="I29" s="5">
        <f t="shared" si="1"/>
        <v>129.76358850000003</v>
      </c>
      <c r="J29" s="8"/>
    </row>
    <row r="30" spans="1:10" x14ac:dyDescent="0.25">
      <c r="A30" s="7">
        <v>24237</v>
      </c>
      <c r="B30" s="13">
        <v>40</v>
      </c>
      <c r="C30" s="13" t="s">
        <v>8</v>
      </c>
      <c r="D30" s="13">
        <v>3</v>
      </c>
      <c r="E30" s="5">
        <f t="shared" si="2"/>
        <v>86.453999999999994</v>
      </c>
      <c r="F30" s="5">
        <f t="shared" si="0"/>
        <v>302.589</v>
      </c>
      <c r="G30" s="6">
        <v>144.09</v>
      </c>
      <c r="H30" s="5">
        <f t="shared" si="3"/>
        <v>57.038026499999994</v>
      </c>
      <c r="I30" s="5">
        <f t="shared" si="1"/>
        <v>199.63309274999997</v>
      </c>
      <c r="J30" s="8"/>
    </row>
    <row r="31" spans="1:10" x14ac:dyDescent="0.25">
      <c r="A31" s="7">
        <v>77039</v>
      </c>
      <c r="B31" s="13">
        <v>15</v>
      </c>
      <c r="C31" s="13" t="s">
        <v>20</v>
      </c>
      <c r="D31" s="13">
        <v>2</v>
      </c>
      <c r="E31" s="5">
        <f t="shared" si="2"/>
        <v>49.241999999999997</v>
      </c>
      <c r="F31" s="5">
        <f t="shared" si="0"/>
        <v>172.34699999999998</v>
      </c>
      <c r="G31" s="6">
        <v>82.07</v>
      </c>
      <c r="H31" s="5">
        <f t="shared" si="3"/>
        <v>32.487409499999998</v>
      </c>
      <c r="I31" s="5">
        <f t="shared" si="1"/>
        <v>113.70593324999999</v>
      </c>
      <c r="J31" s="8"/>
    </row>
    <row r="32" spans="1:10" x14ac:dyDescent="0.25">
      <c r="A32" s="7">
        <v>77039</v>
      </c>
      <c r="B32" s="13">
        <v>20</v>
      </c>
      <c r="C32" s="13" t="s">
        <v>20</v>
      </c>
      <c r="D32" s="13">
        <v>8</v>
      </c>
      <c r="E32" s="5">
        <f t="shared" si="2"/>
        <v>59.975999999999992</v>
      </c>
      <c r="F32" s="5">
        <f t="shared" si="0"/>
        <v>209.91599999999997</v>
      </c>
      <c r="G32" s="6">
        <v>99.96</v>
      </c>
      <c r="H32" s="5">
        <f t="shared" si="3"/>
        <v>39.569166000000003</v>
      </c>
      <c r="I32" s="5">
        <f t="shared" si="1"/>
        <v>138.49208100000001</v>
      </c>
      <c r="J32" s="8"/>
    </row>
    <row r="33" spans="1:10" x14ac:dyDescent="0.25">
      <c r="A33" s="7">
        <v>23599</v>
      </c>
      <c r="B33" s="13">
        <v>52</v>
      </c>
      <c r="C33" s="13" t="s">
        <v>38</v>
      </c>
      <c r="D33" s="13">
        <v>5</v>
      </c>
      <c r="E33" s="5">
        <f t="shared" si="2"/>
        <v>109.254</v>
      </c>
      <c r="F33" s="5">
        <f t="shared" si="0"/>
        <v>382.38900000000001</v>
      </c>
      <c r="G33" s="6">
        <v>182.09</v>
      </c>
      <c r="H33" s="5">
        <f t="shared" si="3"/>
        <v>72.080326499999998</v>
      </c>
      <c r="I33" s="5">
        <f t="shared" si="1"/>
        <v>252.28114274999999</v>
      </c>
      <c r="J33" s="8"/>
    </row>
    <row r="34" spans="1:10" x14ac:dyDescent="0.25">
      <c r="A34" s="7">
        <v>23050</v>
      </c>
      <c r="B34" s="13">
        <v>20</v>
      </c>
      <c r="C34" s="13" t="s">
        <v>9</v>
      </c>
      <c r="D34" s="13">
        <v>0</v>
      </c>
      <c r="E34" s="5">
        <f t="shared" si="2"/>
        <v>60.593999999999994</v>
      </c>
      <c r="F34" s="5">
        <f t="shared" si="0"/>
        <v>212.07899999999998</v>
      </c>
      <c r="G34" s="6">
        <v>100.99</v>
      </c>
      <c r="H34" s="5">
        <f t="shared" si="3"/>
        <v>39.976891500000008</v>
      </c>
      <c r="I34" s="5">
        <f t="shared" si="1"/>
        <v>139.91912025000002</v>
      </c>
      <c r="J34" s="8"/>
    </row>
    <row r="35" spans="1:10" x14ac:dyDescent="0.25">
      <c r="A35" s="7">
        <v>23145</v>
      </c>
      <c r="B35" s="13">
        <v>45</v>
      </c>
      <c r="C35" s="13" t="s">
        <v>9</v>
      </c>
      <c r="D35" s="13">
        <v>3</v>
      </c>
      <c r="E35" s="5">
        <f t="shared" si="2"/>
        <v>84.635999999999996</v>
      </c>
      <c r="F35" s="5">
        <f t="shared" si="0"/>
        <v>296.226</v>
      </c>
      <c r="G35" s="6">
        <v>141.06</v>
      </c>
      <c r="H35" s="5">
        <f t="shared" si="3"/>
        <v>55.838601000000011</v>
      </c>
      <c r="I35" s="5">
        <f t="shared" si="1"/>
        <v>195.43510350000003</v>
      </c>
      <c r="J35" s="8"/>
    </row>
    <row r="36" spans="1:10" x14ac:dyDescent="0.25">
      <c r="A36" s="7">
        <v>23373</v>
      </c>
      <c r="B36" s="13">
        <v>15</v>
      </c>
      <c r="C36" s="13" t="s">
        <v>9</v>
      </c>
      <c r="D36" s="13">
        <v>0</v>
      </c>
      <c r="E36" s="5">
        <f t="shared" si="2"/>
        <v>43.583999999999996</v>
      </c>
      <c r="F36" s="5">
        <f t="shared" si="0"/>
        <v>152.54399999999998</v>
      </c>
      <c r="G36" s="6">
        <v>72.64</v>
      </c>
      <c r="H36" s="5">
        <f t="shared" si="3"/>
        <v>28.754544000000003</v>
      </c>
      <c r="I36" s="5">
        <f t="shared" si="1"/>
        <v>100.64090400000001</v>
      </c>
      <c r="J36" s="8"/>
    </row>
    <row r="37" spans="1:10" x14ac:dyDescent="0.25">
      <c r="A37" s="7">
        <v>23373</v>
      </c>
      <c r="B37" s="13">
        <v>20</v>
      </c>
      <c r="C37" s="13" t="s">
        <v>9</v>
      </c>
      <c r="D37" s="13">
        <v>1</v>
      </c>
      <c r="E37" s="5">
        <f t="shared" si="2"/>
        <v>51.108000000000004</v>
      </c>
      <c r="F37" s="5">
        <f t="shared" si="0"/>
        <v>178.87800000000001</v>
      </c>
      <c r="G37" s="6">
        <v>85.18</v>
      </c>
      <c r="H37" s="5">
        <f t="shared" si="3"/>
        <v>33.718503000000005</v>
      </c>
      <c r="I37" s="5">
        <f t="shared" si="1"/>
        <v>118.01476050000002</v>
      </c>
      <c r="J37" s="8"/>
    </row>
    <row r="38" spans="1:10" x14ac:dyDescent="0.25">
      <c r="A38" s="7">
        <v>23373</v>
      </c>
      <c r="B38" s="13">
        <v>35</v>
      </c>
      <c r="C38" s="13" t="s">
        <v>9</v>
      </c>
      <c r="D38" s="13">
        <v>1</v>
      </c>
      <c r="E38" s="5">
        <f t="shared" si="2"/>
        <v>128.19</v>
      </c>
      <c r="F38" s="5">
        <f t="shared" si="0"/>
        <v>448.66499999999996</v>
      </c>
      <c r="G38" s="6">
        <v>213.65</v>
      </c>
      <c r="H38" s="5">
        <f t="shared" si="3"/>
        <v>84.573352500000013</v>
      </c>
      <c r="I38" s="5">
        <f t="shared" si="1"/>
        <v>296.00673375000002</v>
      </c>
      <c r="J38" s="8"/>
    </row>
    <row r="39" spans="1:10" x14ac:dyDescent="0.25">
      <c r="A39" s="7">
        <v>23373</v>
      </c>
      <c r="B39" s="13">
        <v>25</v>
      </c>
      <c r="C39" s="13" t="s">
        <v>9</v>
      </c>
      <c r="D39" s="13">
        <v>2</v>
      </c>
      <c r="E39" s="5">
        <f t="shared" si="2"/>
        <v>66.665999999999997</v>
      </c>
      <c r="F39" s="5">
        <f t="shared" si="0"/>
        <v>233.33099999999999</v>
      </c>
      <c r="G39" s="6">
        <v>111.11</v>
      </c>
      <c r="H39" s="5">
        <f t="shared" si="3"/>
        <v>43.982893499999989</v>
      </c>
      <c r="I39" s="5">
        <f t="shared" si="1"/>
        <v>153.94012724999996</v>
      </c>
      <c r="J39" s="8"/>
    </row>
    <row r="40" spans="1:10" x14ac:dyDescent="0.25">
      <c r="A40" s="7">
        <v>23395</v>
      </c>
      <c r="B40" s="13">
        <v>16</v>
      </c>
      <c r="C40" s="13" t="s">
        <v>9</v>
      </c>
      <c r="D40" s="13">
        <v>3</v>
      </c>
      <c r="E40" s="5">
        <f t="shared" si="2"/>
        <v>43.583999999999996</v>
      </c>
      <c r="F40" s="5">
        <f t="shared" si="0"/>
        <v>152.54399999999998</v>
      </c>
      <c r="G40" s="6">
        <v>72.64</v>
      </c>
      <c r="H40" s="5">
        <f t="shared" si="3"/>
        <v>28.754544000000003</v>
      </c>
      <c r="I40" s="5">
        <f t="shared" si="1"/>
        <v>100.64090400000001</v>
      </c>
      <c r="J40" s="8"/>
    </row>
    <row r="41" spans="1:10" x14ac:dyDescent="0.25">
      <c r="A41" s="7">
        <v>23395</v>
      </c>
      <c r="B41" s="13">
        <v>25</v>
      </c>
      <c r="C41" s="13" t="s">
        <v>9</v>
      </c>
      <c r="D41" s="13">
        <v>10</v>
      </c>
      <c r="E41" s="5">
        <f t="shared" si="2"/>
        <v>66.665999999999997</v>
      </c>
      <c r="F41" s="5">
        <f t="shared" si="0"/>
        <v>233.33099999999999</v>
      </c>
      <c r="G41" s="6">
        <v>111.11</v>
      </c>
      <c r="H41" s="5">
        <f t="shared" si="3"/>
        <v>43.982893499999989</v>
      </c>
      <c r="I41" s="5">
        <f t="shared" si="1"/>
        <v>153.94012724999996</v>
      </c>
      <c r="J41" s="8"/>
    </row>
    <row r="42" spans="1:10" x14ac:dyDescent="0.25">
      <c r="A42" s="7">
        <v>23395</v>
      </c>
      <c r="B42" s="13">
        <v>30</v>
      </c>
      <c r="C42" s="13" t="s">
        <v>9</v>
      </c>
      <c r="D42" s="13">
        <v>3</v>
      </c>
      <c r="E42" s="5">
        <f t="shared" si="2"/>
        <v>72.72</v>
      </c>
      <c r="F42" s="5">
        <f t="shared" si="0"/>
        <v>254.51999999999998</v>
      </c>
      <c r="G42" s="6">
        <v>121.2</v>
      </c>
      <c r="H42" s="5">
        <f t="shared" si="3"/>
        <v>47.977020000000003</v>
      </c>
      <c r="I42" s="5">
        <f t="shared" si="1"/>
        <v>167.91957000000002</v>
      </c>
      <c r="J42" s="8"/>
    </row>
    <row r="43" spans="1:10" x14ac:dyDescent="0.25">
      <c r="A43" s="7">
        <v>23395</v>
      </c>
      <c r="B43" s="13">
        <v>52</v>
      </c>
      <c r="C43" s="13" t="s">
        <v>9</v>
      </c>
      <c r="D43" s="13">
        <v>3</v>
      </c>
      <c r="E43" s="5">
        <f t="shared" si="2"/>
        <v>132.55199999999999</v>
      </c>
      <c r="F43" s="5">
        <f t="shared" si="0"/>
        <v>463.93199999999996</v>
      </c>
      <c r="G43" s="6">
        <v>220.92</v>
      </c>
      <c r="H43" s="5">
        <f t="shared" si="3"/>
        <v>87.451182000000003</v>
      </c>
      <c r="I43" s="5">
        <f t="shared" si="1"/>
        <v>306.079137</v>
      </c>
      <c r="J43" s="8"/>
    </row>
    <row r="44" spans="1:10" x14ac:dyDescent="0.25">
      <c r="A44" s="7">
        <v>24215</v>
      </c>
      <c r="B44" s="13">
        <v>30</v>
      </c>
      <c r="C44" s="13" t="s">
        <v>20</v>
      </c>
      <c r="D44" s="13">
        <v>3</v>
      </c>
      <c r="E44" s="5">
        <f t="shared" si="2"/>
        <v>92.555999999999997</v>
      </c>
      <c r="F44" s="5">
        <f t="shared" si="0"/>
        <v>323.94599999999997</v>
      </c>
      <c r="G44" s="4">
        <v>154.26</v>
      </c>
      <c r="H44" s="5">
        <f t="shared" si="3"/>
        <v>61.063820999999997</v>
      </c>
      <c r="I44" s="5">
        <f t="shared" si="1"/>
        <v>213.72337349999998</v>
      </c>
      <c r="J44" s="8"/>
    </row>
    <row r="45" spans="1:10" x14ac:dyDescent="0.25">
      <c r="A45" s="7">
        <v>24830</v>
      </c>
      <c r="B45" s="13">
        <v>12</v>
      </c>
      <c r="C45" s="13" t="s">
        <v>10</v>
      </c>
      <c r="D45" s="13">
        <v>11</v>
      </c>
      <c r="E45" s="5">
        <f t="shared" si="2"/>
        <v>22.992000000000001</v>
      </c>
      <c r="F45" s="5">
        <f t="shared" si="0"/>
        <v>80.472000000000008</v>
      </c>
      <c r="G45" s="6">
        <v>38.32</v>
      </c>
      <c r="H45" s="5">
        <f t="shared" si="3"/>
        <v>15.168972</v>
      </c>
      <c r="I45" s="5">
        <f t="shared" si="1"/>
        <v>53.091402000000002</v>
      </c>
      <c r="J45" s="8"/>
    </row>
    <row r="46" spans="1:10" x14ac:dyDescent="0.25">
      <c r="A46" s="7">
        <v>24830</v>
      </c>
      <c r="B46" s="13">
        <v>20</v>
      </c>
      <c r="C46" s="13" t="s">
        <v>10</v>
      </c>
      <c r="D46" s="13">
        <v>10</v>
      </c>
      <c r="E46" s="5">
        <f t="shared" si="2"/>
        <v>37.739999999999995</v>
      </c>
      <c r="F46" s="5">
        <f t="shared" si="0"/>
        <v>132.08999999999997</v>
      </c>
      <c r="G46" s="6">
        <v>62.9</v>
      </c>
      <c r="H46" s="5">
        <f>(G46*1.04/1.2*0.5*0.7*0.9)*1.45</f>
        <v>24.898964999999997</v>
      </c>
      <c r="I46" s="5">
        <f t="shared" si="1"/>
        <v>87.146377499999986</v>
      </c>
      <c r="J46" s="8"/>
    </row>
    <row r="47" spans="1:10" x14ac:dyDescent="0.25">
      <c r="A47" s="7">
        <v>24840</v>
      </c>
      <c r="B47" s="13">
        <v>20</v>
      </c>
      <c r="C47" s="13" t="s">
        <v>11</v>
      </c>
      <c r="D47" s="13">
        <v>22</v>
      </c>
      <c r="E47" s="5">
        <f t="shared" si="2"/>
        <v>47.585999999999999</v>
      </c>
      <c r="F47" s="5">
        <f t="shared" si="0"/>
        <v>166.55099999999999</v>
      </c>
      <c r="G47" s="6">
        <v>79.31</v>
      </c>
      <c r="H47" s="5">
        <f t="shared" si="3"/>
        <v>31.394863499999996</v>
      </c>
      <c r="I47" s="5">
        <f t="shared" si="1"/>
        <v>109.88202224999999</v>
      </c>
      <c r="J47" s="8"/>
    </row>
    <row r="48" spans="1:10" x14ac:dyDescent="0.25">
      <c r="A48" s="7">
        <v>30039</v>
      </c>
      <c r="B48" s="13">
        <v>9</v>
      </c>
      <c r="C48" s="13" t="s">
        <v>14</v>
      </c>
      <c r="D48" s="13">
        <v>1</v>
      </c>
      <c r="E48" s="5">
        <f t="shared" si="2"/>
        <v>10.049999999999999</v>
      </c>
      <c r="F48" s="5">
        <f t="shared" si="0"/>
        <v>35.174999999999997</v>
      </c>
      <c r="G48" s="6">
        <v>16.75</v>
      </c>
      <c r="H48" s="5">
        <f t="shared" si="3"/>
        <v>6.6304875000000001</v>
      </c>
      <c r="I48" s="5">
        <f t="shared" si="1"/>
        <v>23.20670625</v>
      </c>
      <c r="J48" s="8"/>
    </row>
    <row r="49" spans="1:10" x14ac:dyDescent="0.25">
      <c r="A49" s="7">
        <v>30000</v>
      </c>
      <c r="B49" s="13">
        <v>16</v>
      </c>
      <c r="C49" s="13" t="s">
        <v>14</v>
      </c>
      <c r="D49" s="13">
        <v>1</v>
      </c>
      <c r="E49" s="5">
        <f t="shared" si="2"/>
        <v>21.431999999999999</v>
      </c>
      <c r="F49" s="5">
        <f t="shared" si="0"/>
        <v>75.012</v>
      </c>
      <c r="G49" s="6">
        <v>35.72</v>
      </c>
      <c r="H49" s="5">
        <f t="shared" si="3"/>
        <v>14.139761999999999</v>
      </c>
      <c r="I49" s="5">
        <f t="shared" si="1"/>
        <v>49.489166999999995</v>
      </c>
      <c r="J49" s="8"/>
    </row>
    <row r="50" spans="1:10" x14ac:dyDescent="0.25">
      <c r="A50" s="7">
        <v>30000</v>
      </c>
      <c r="B50" s="13">
        <v>24</v>
      </c>
      <c r="C50" s="13" t="s">
        <v>14</v>
      </c>
      <c r="D50" s="13">
        <v>18</v>
      </c>
      <c r="E50" s="5">
        <f t="shared" si="2"/>
        <v>37.08</v>
      </c>
      <c r="F50" s="5">
        <f t="shared" si="0"/>
        <v>129.78</v>
      </c>
      <c r="G50" s="6">
        <v>61.8</v>
      </c>
      <c r="H50" s="5">
        <f t="shared" si="3"/>
        <v>24.463530000000002</v>
      </c>
      <c r="I50" s="5">
        <f t="shared" si="1"/>
        <v>85.622355000000013</v>
      </c>
      <c r="J50" s="8"/>
    </row>
    <row r="51" spans="1:10" x14ac:dyDescent="0.25">
      <c r="A51" s="7">
        <v>30053</v>
      </c>
      <c r="B51" s="13">
        <v>13</v>
      </c>
      <c r="C51" s="13" t="s">
        <v>14</v>
      </c>
      <c r="D51" s="13">
        <v>3</v>
      </c>
      <c r="E51" s="5">
        <f t="shared" si="2"/>
        <v>16.068000000000001</v>
      </c>
      <c r="F51" s="5">
        <f t="shared" si="0"/>
        <v>56.238000000000007</v>
      </c>
      <c r="G51" s="6">
        <v>26.78</v>
      </c>
      <c r="H51" s="5">
        <f t="shared" si="3"/>
        <v>10.600863000000002</v>
      </c>
      <c r="I51" s="5">
        <f t="shared" si="1"/>
        <v>37.103020500000007</v>
      </c>
      <c r="J51" s="8"/>
    </row>
    <row r="52" spans="1:10" s="12" customFormat="1" x14ac:dyDescent="0.25">
      <c r="A52" s="7">
        <v>30053</v>
      </c>
      <c r="B52" s="13">
        <v>17</v>
      </c>
      <c r="C52" s="13" t="s">
        <v>14</v>
      </c>
      <c r="D52" s="13">
        <v>10</v>
      </c>
      <c r="E52" s="5">
        <f t="shared" si="2"/>
        <v>27.594000000000001</v>
      </c>
      <c r="F52" s="9">
        <f t="shared" si="0"/>
        <v>96.579000000000008</v>
      </c>
      <c r="G52" s="10">
        <v>45.99</v>
      </c>
      <c r="H52" s="5">
        <f t="shared" si="3"/>
        <v>18.2051415</v>
      </c>
      <c r="I52" s="9">
        <f t="shared" si="1"/>
        <v>63.717995250000001</v>
      </c>
      <c r="J52" s="11"/>
    </row>
    <row r="53" spans="1:10" x14ac:dyDescent="0.25">
      <c r="A53" s="7">
        <v>30053</v>
      </c>
      <c r="B53" s="13">
        <v>26</v>
      </c>
      <c r="C53" s="13" t="s">
        <v>21</v>
      </c>
      <c r="D53" s="4">
        <v>8</v>
      </c>
      <c r="E53" s="5">
        <f t="shared" si="2"/>
        <v>101.43599999999999</v>
      </c>
      <c r="F53" s="5">
        <f t="shared" si="0"/>
        <v>355.02599999999995</v>
      </c>
      <c r="G53" s="6">
        <v>169.06</v>
      </c>
      <c r="H53" s="5">
        <f t="shared" si="3"/>
        <v>66.922401000000008</v>
      </c>
      <c r="I53" s="5">
        <f t="shared" si="1"/>
        <v>234.22840350000001</v>
      </c>
      <c r="J53" s="8"/>
    </row>
    <row r="54" spans="1:10" x14ac:dyDescent="0.25">
      <c r="A54" s="7">
        <v>30053</v>
      </c>
      <c r="B54" s="13">
        <v>26</v>
      </c>
      <c r="C54" s="13" t="s">
        <v>14</v>
      </c>
      <c r="D54" s="4">
        <v>19</v>
      </c>
      <c r="E54" s="5">
        <f t="shared" si="2"/>
        <v>46.631999999999998</v>
      </c>
      <c r="F54" s="5">
        <f t="shared" si="0"/>
        <v>163.21199999999999</v>
      </c>
      <c r="G54" s="6">
        <v>77.72</v>
      </c>
      <c r="H54" s="5">
        <f t="shared" si="3"/>
        <v>30.765462000000003</v>
      </c>
      <c r="I54" s="5">
        <f t="shared" si="1"/>
        <v>107.67911700000001</v>
      </c>
      <c r="J54" s="8"/>
    </row>
    <row r="55" spans="1:10" x14ac:dyDescent="0.25">
      <c r="A55" s="7" t="s">
        <v>22</v>
      </c>
      <c r="B55" s="13">
        <v>13</v>
      </c>
      <c r="C55" s="13" t="s">
        <v>21</v>
      </c>
      <c r="D55" s="4">
        <v>1</v>
      </c>
      <c r="E55" s="5">
        <f t="shared" si="2"/>
        <v>50.4</v>
      </c>
      <c r="F55" s="5">
        <f t="shared" si="0"/>
        <v>176.4</v>
      </c>
      <c r="G55" s="6">
        <v>84</v>
      </c>
      <c r="H55" s="5">
        <f t="shared" si="3"/>
        <v>33.251399999999997</v>
      </c>
      <c r="I55" s="5">
        <f t="shared" si="1"/>
        <v>116.37989999999999</v>
      </c>
      <c r="J55" s="8"/>
    </row>
    <row r="56" spans="1:10" x14ac:dyDescent="0.25">
      <c r="A56" s="7" t="s">
        <v>22</v>
      </c>
      <c r="B56" s="13">
        <v>17</v>
      </c>
      <c r="C56" s="13" t="s">
        <v>21</v>
      </c>
      <c r="D56" s="4">
        <v>2</v>
      </c>
      <c r="E56" s="5">
        <f t="shared" si="2"/>
        <v>76.944000000000003</v>
      </c>
      <c r="F56" s="5">
        <f t="shared" si="0"/>
        <v>269.30400000000003</v>
      </c>
      <c r="G56" s="6">
        <v>128.24</v>
      </c>
      <c r="H56" s="5">
        <f t="shared" si="3"/>
        <v>50.763804</v>
      </c>
      <c r="I56" s="5">
        <f t="shared" si="1"/>
        <v>177.673314</v>
      </c>
      <c r="J56" s="8"/>
    </row>
    <row r="57" spans="1:10" x14ac:dyDescent="0.25">
      <c r="A57" s="7">
        <v>30001</v>
      </c>
      <c r="B57" s="13">
        <v>11</v>
      </c>
      <c r="C57" s="13" t="s">
        <v>14</v>
      </c>
      <c r="D57" s="4">
        <v>14</v>
      </c>
      <c r="E57" s="5">
        <f t="shared" si="2"/>
        <v>10.914</v>
      </c>
      <c r="F57" s="5">
        <f t="shared" si="0"/>
        <v>38.198999999999998</v>
      </c>
      <c r="G57" s="6">
        <v>18.190000000000001</v>
      </c>
      <c r="H57" s="5">
        <f t="shared" si="3"/>
        <v>7.2005115000000011</v>
      </c>
      <c r="I57" s="5">
        <f t="shared" si="1"/>
        <v>25.201790250000002</v>
      </c>
      <c r="J57" s="8"/>
    </row>
    <row r="58" spans="1:10" x14ac:dyDescent="0.25">
      <c r="A58" s="7">
        <v>30001</v>
      </c>
      <c r="B58" s="13">
        <v>28</v>
      </c>
      <c r="C58" s="13" t="s">
        <v>14</v>
      </c>
      <c r="D58" s="4">
        <v>7</v>
      </c>
      <c r="E58" s="5">
        <f t="shared" si="2"/>
        <v>52.913999999999994</v>
      </c>
      <c r="F58" s="5">
        <f t="shared" si="0"/>
        <v>185.19899999999998</v>
      </c>
      <c r="G58" s="6">
        <v>88.19</v>
      </c>
      <c r="H58" s="5">
        <f t="shared" si="3"/>
        <v>34.910011500000003</v>
      </c>
      <c r="I58" s="5">
        <f t="shared" si="1"/>
        <v>122.18504025000001</v>
      </c>
      <c r="J58" s="8"/>
    </row>
    <row r="59" spans="1:10" x14ac:dyDescent="0.25">
      <c r="A59" s="7">
        <v>30001</v>
      </c>
      <c r="B59" s="13">
        <v>21</v>
      </c>
      <c r="C59" s="13" t="s">
        <v>14</v>
      </c>
      <c r="D59" s="4">
        <v>3</v>
      </c>
      <c r="E59" s="5">
        <f t="shared" si="2"/>
        <v>31.541999999999998</v>
      </c>
      <c r="F59" s="5">
        <f t="shared" si="0"/>
        <v>110.39699999999999</v>
      </c>
      <c r="G59" s="6">
        <v>52.57</v>
      </c>
      <c r="H59" s="5">
        <f t="shared" si="3"/>
        <v>20.809834500000001</v>
      </c>
      <c r="I59" s="5">
        <f t="shared" si="1"/>
        <v>72.834420750000007</v>
      </c>
      <c r="J59" s="8"/>
    </row>
    <row r="60" spans="1:10" x14ac:dyDescent="0.25">
      <c r="A60" s="7">
        <v>30000</v>
      </c>
      <c r="B60" s="13">
        <v>30</v>
      </c>
      <c r="C60" s="13" t="s">
        <v>14</v>
      </c>
      <c r="D60" s="4">
        <v>1</v>
      </c>
      <c r="E60" s="5">
        <f t="shared" si="2"/>
        <v>57.018000000000001</v>
      </c>
      <c r="F60" s="5">
        <f t="shared" si="0"/>
        <v>199.56299999999999</v>
      </c>
      <c r="G60" s="6">
        <v>95.03</v>
      </c>
      <c r="H60" s="5">
        <f t="shared" si="3"/>
        <v>37.617625500000003</v>
      </c>
      <c r="I60" s="5">
        <f t="shared" si="1"/>
        <v>131.66168924999999</v>
      </c>
      <c r="J60" s="8"/>
    </row>
    <row r="61" spans="1:10" x14ac:dyDescent="0.25">
      <c r="A61" s="7">
        <v>33200</v>
      </c>
      <c r="B61" s="13">
        <v>8</v>
      </c>
      <c r="C61" s="13" t="s">
        <v>15</v>
      </c>
      <c r="D61" s="4">
        <v>10</v>
      </c>
      <c r="E61" s="5">
        <f t="shared" si="2"/>
        <v>44.861999999999995</v>
      </c>
      <c r="F61" s="5">
        <f t="shared" si="0"/>
        <v>157.017</v>
      </c>
      <c r="G61" s="6">
        <v>74.77</v>
      </c>
      <c r="H61" s="5">
        <f t="shared" si="3"/>
        <v>29.597704500000003</v>
      </c>
      <c r="I61" s="5">
        <f t="shared" si="1"/>
        <v>103.59196575000001</v>
      </c>
      <c r="J61" s="8"/>
    </row>
    <row r="62" spans="1:10" x14ac:dyDescent="0.25">
      <c r="A62" s="7">
        <v>33200</v>
      </c>
      <c r="B62" s="13">
        <v>11</v>
      </c>
      <c r="C62" s="13" t="s">
        <v>15</v>
      </c>
      <c r="D62" s="4">
        <v>11</v>
      </c>
      <c r="E62" s="5">
        <f t="shared" si="2"/>
        <v>56.052</v>
      </c>
      <c r="F62" s="5">
        <f t="shared" si="0"/>
        <v>196.18199999999999</v>
      </c>
      <c r="G62" s="6">
        <v>93.42</v>
      </c>
      <c r="H62" s="5">
        <f t="shared" si="3"/>
        <v>36.980307000000003</v>
      </c>
      <c r="I62" s="5">
        <f t="shared" si="1"/>
        <v>129.43107450000002</v>
      </c>
      <c r="J62" s="8"/>
    </row>
    <row r="63" spans="1:10" x14ac:dyDescent="0.25">
      <c r="A63" s="7">
        <v>31050</v>
      </c>
      <c r="B63" s="13">
        <v>17</v>
      </c>
      <c r="C63" s="13" t="s">
        <v>12</v>
      </c>
      <c r="D63" s="4">
        <v>2</v>
      </c>
      <c r="E63" s="5">
        <f t="shared" si="2"/>
        <v>46.74</v>
      </c>
      <c r="F63" s="5">
        <f t="shared" si="0"/>
        <v>163.59</v>
      </c>
      <c r="G63" s="6">
        <v>77.900000000000006</v>
      </c>
      <c r="H63" s="5">
        <f t="shared" si="3"/>
        <v>30.836714999999998</v>
      </c>
      <c r="I63" s="5">
        <f t="shared" si="1"/>
        <v>107.92850249999999</v>
      </c>
      <c r="J63" s="8"/>
    </row>
    <row r="64" spans="1:10" x14ac:dyDescent="0.25">
      <c r="A64" s="7">
        <v>31040</v>
      </c>
      <c r="B64" s="13">
        <v>17</v>
      </c>
      <c r="C64" s="13" t="s">
        <v>12</v>
      </c>
      <c r="D64" s="4">
        <v>1</v>
      </c>
      <c r="E64" s="5">
        <f t="shared" si="2"/>
        <v>46.74</v>
      </c>
      <c r="F64" s="5">
        <f t="shared" si="0"/>
        <v>163.59</v>
      </c>
      <c r="G64" s="6">
        <v>77.900000000000006</v>
      </c>
      <c r="H64" s="5">
        <f t="shared" si="3"/>
        <v>30.836714999999998</v>
      </c>
      <c r="I64" s="5">
        <f t="shared" si="1"/>
        <v>107.92850249999999</v>
      </c>
      <c r="J64" s="8"/>
    </row>
    <row r="65" spans="1:10" x14ac:dyDescent="0.25">
      <c r="A65" s="7">
        <v>31646</v>
      </c>
      <c r="B65" s="13">
        <v>20</v>
      </c>
      <c r="C65" s="13" t="s">
        <v>12</v>
      </c>
      <c r="D65" s="4">
        <v>2</v>
      </c>
      <c r="E65" s="5">
        <f t="shared" si="2"/>
        <v>50.531999999999996</v>
      </c>
      <c r="F65" s="5">
        <f t="shared" si="0"/>
        <v>176.86199999999999</v>
      </c>
      <c r="G65" s="6">
        <v>84.22</v>
      </c>
      <c r="H65" s="5">
        <f t="shared" si="3"/>
        <v>33.338486999999994</v>
      </c>
      <c r="I65" s="5">
        <f t="shared" si="1"/>
        <v>116.68470449999998</v>
      </c>
      <c r="J65" s="8"/>
    </row>
    <row r="66" spans="1:10" x14ac:dyDescent="0.25">
      <c r="A66" s="7">
        <v>22053</v>
      </c>
      <c r="B66" s="13">
        <v>65</v>
      </c>
      <c r="C66" s="13" t="s">
        <v>13</v>
      </c>
      <c r="D66" s="4">
        <v>1</v>
      </c>
      <c r="E66" s="5">
        <f t="shared" si="2"/>
        <v>11.802000000000001</v>
      </c>
      <c r="F66" s="5">
        <f t="shared" si="0"/>
        <v>41.307000000000002</v>
      </c>
      <c r="G66" s="6">
        <v>19.670000000000002</v>
      </c>
      <c r="H66" s="5">
        <f t="shared" si="3"/>
        <v>7.7863695000000011</v>
      </c>
      <c r="I66" s="5">
        <f t="shared" si="1"/>
        <v>27.252293250000005</v>
      </c>
      <c r="J66" s="8"/>
    </row>
    <row r="67" spans="1:10" x14ac:dyDescent="0.25">
      <c r="A67" s="7">
        <v>31019</v>
      </c>
      <c r="B67" s="13">
        <v>12</v>
      </c>
      <c r="C67" s="13" t="s">
        <v>13</v>
      </c>
      <c r="D67" s="4">
        <v>6</v>
      </c>
      <c r="E67" s="5">
        <f t="shared" si="2"/>
        <v>39.402000000000001</v>
      </c>
      <c r="F67" s="5">
        <f t="shared" si="0"/>
        <v>137.90700000000001</v>
      </c>
      <c r="G67" s="6">
        <v>65.67</v>
      </c>
      <c r="H67" s="5">
        <f t="shared" si="3"/>
        <v>25.995469499999999</v>
      </c>
      <c r="I67" s="5">
        <f t="shared" si="1"/>
        <v>90.984143249999988</v>
      </c>
      <c r="J67" s="8"/>
    </row>
    <row r="68" spans="1:10" x14ac:dyDescent="0.25">
      <c r="A68" s="7">
        <v>31021</v>
      </c>
      <c r="B68" s="13">
        <v>12</v>
      </c>
      <c r="C68" s="13" t="s">
        <v>13</v>
      </c>
      <c r="D68" s="4">
        <v>5</v>
      </c>
      <c r="E68" s="5">
        <f t="shared" ref="E68:E116" si="4">G68*0.6</f>
        <v>39.402000000000001</v>
      </c>
      <c r="F68" s="5">
        <f t="shared" si="0"/>
        <v>137.90700000000001</v>
      </c>
      <c r="G68" s="6">
        <v>65.67</v>
      </c>
      <c r="H68" s="5">
        <f t="shared" si="3"/>
        <v>25.995469499999999</v>
      </c>
      <c r="I68" s="5">
        <f t="shared" si="1"/>
        <v>90.984143249999988</v>
      </c>
      <c r="J68" s="8"/>
    </row>
    <row r="69" spans="1:10" x14ac:dyDescent="0.25">
      <c r="A69" s="7">
        <v>31021</v>
      </c>
      <c r="B69" s="13">
        <v>17</v>
      </c>
      <c r="C69" s="13" t="s">
        <v>13</v>
      </c>
      <c r="D69" s="4">
        <v>1</v>
      </c>
      <c r="E69" s="5">
        <f t="shared" si="4"/>
        <v>68.628</v>
      </c>
      <c r="F69" s="5">
        <f t="shared" si="0"/>
        <v>240.19800000000001</v>
      </c>
      <c r="G69" s="6">
        <v>114.38</v>
      </c>
      <c r="H69" s="5">
        <f t="shared" si="3"/>
        <v>45.277322999999988</v>
      </c>
      <c r="I69" s="5">
        <f t="shared" si="1"/>
        <v>158.47063049999997</v>
      </c>
      <c r="J69" s="8"/>
    </row>
    <row r="70" spans="1:10" x14ac:dyDescent="0.25">
      <c r="A70" s="7">
        <v>32693</v>
      </c>
      <c r="B70" s="13">
        <v>20</v>
      </c>
      <c r="C70" s="13" t="s">
        <v>13</v>
      </c>
      <c r="D70" s="4">
        <v>9</v>
      </c>
      <c r="E70" s="5">
        <f t="shared" si="4"/>
        <v>51.347999999999999</v>
      </c>
      <c r="F70" s="5">
        <f t="shared" si="0"/>
        <v>179.71799999999999</v>
      </c>
      <c r="G70" s="6">
        <v>85.58</v>
      </c>
      <c r="H70" s="5">
        <f t="shared" si="3"/>
        <v>33.876843000000001</v>
      </c>
      <c r="I70" s="5">
        <f t="shared" si="1"/>
        <v>118.5689505</v>
      </c>
      <c r="J70" s="8"/>
    </row>
    <row r="71" spans="1:10" x14ac:dyDescent="0.25">
      <c r="A71" s="7">
        <v>22053</v>
      </c>
      <c r="B71" s="13">
        <v>30</v>
      </c>
      <c r="C71" s="13" t="s">
        <v>13</v>
      </c>
      <c r="D71" s="4">
        <v>9</v>
      </c>
      <c r="E71" s="5">
        <f t="shared" si="4"/>
        <v>5.6159999999999997</v>
      </c>
      <c r="F71" s="5">
        <f t="shared" si="0"/>
        <v>19.655999999999999</v>
      </c>
      <c r="G71" s="6">
        <v>9.36</v>
      </c>
      <c r="H71" s="5">
        <f t="shared" si="3"/>
        <v>3.7051560000000001</v>
      </c>
      <c r="I71" s="5">
        <f t="shared" si="1"/>
        <v>12.968046000000001</v>
      </c>
      <c r="J71" s="8"/>
    </row>
    <row r="72" spans="1:10" x14ac:dyDescent="0.25">
      <c r="A72" s="7">
        <v>32674</v>
      </c>
      <c r="B72" s="13">
        <v>14</v>
      </c>
      <c r="C72" s="13" t="s">
        <v>13</v>
      </c>
      <c r="D72" s="4">
        <v>5</v>
      </c>
      <c r="E72" s="5">
        <f t="shared" si="4"/>
        <v>44.814</v>
      </c>
      <c r="F72" s="5">
        <f t="shared" si="0"/>
        <v>156.84899999999999</v>
      </c>
      <c r="G72" s="6">
        <v>74.69</v>
      </c>
      <c r="H72" s="5">
        <f t="shared" si="3"/>
        <v>29.566036499999999</v>
      </c>
      <c r="I72" s="5">
        <f t="shared" si="1"/>
        <v>103.48112775</v>
      </c>
      <c r="J72" s="8"/>
    </row>
    <row r="73" spans="1:10" x14ac:dyDescent="0.25">
      <c r="A73" s="7">
        <v>31083</v>
      </c>
      <c r="B73" s="13">
        <v>8</v>
      </c>
      <c r="C73" s="13" t="s">
        <v>13</v>
      </c>
      <c r="D73" s="4">
        <v>3</v>
      </c>
      <c r="E73" s="5">
        <f t="shared" si="4"/>
        <v>18.623999999999999</v>
      </c>
      <c r="F73" s="5">
        <f t="shared" si="0"/>
        <v>65.183999999999997</v>
      </c>
      <c r="G73" s="6">
        <v>31.04</v>
      </c>
      <c r="H73" s="5">
        <f t="shared" si="3"/>
        <v>12.287184</v>
      </c>
      <c r="I73" s="5">
        <f t="shared" si="1"/>
        <v>43.005144000000001</v>
      </c>
      <c r="J73" s="8"/>
    </row>
    <row r="74" spans="1:10" x14ac:dyDescent="0.25">
      <c r="A74" s="7">
        <v>31082</v>
      </c>
      <c r="B74" s="13">
        <v>6</v>
      </c>
      <c r="C74" s="13" t="s">
        <v>13</v>
      </c>
      <c r="D74" s="4">
        <v>3</v>
      </c>
      <c r="E74" s="5">
        <f t="shared" si="4"/>
        <v>16.596</v>
      </c>
      <c r="F74" s="5">
        <f t="shared" si="0"/>
        <v>58.085999999999999</v>
      </c>
      <c r="G74" s="6">
        <v>27.66</v>
      </c>
      <c r="H74" s="5">
        <f t="shared" si="3"/>
        <v>10.949211</v>
      </c>
      <c r="I74" s="5">
        <f t="shared" si="1"/>
        <v>38.322238499999997</v>
      </c>
      <c r="J74" s="8"/>
    </row>
    <row r="75" spans="1:10" x14ac:dyDescent="0.25">
      <c r="A75" s="7">
        <v>31338</v>
      </c>
      <c r="B75" s="13">
        <v>50</v>
      </c>
      <c r="C75" s="13" t="s">
        <v>13</v>
      </c>
      <c r="D75" s="4">
        <v>2</v>
      </c>
      <c r="E75" s="5">
        <f t="shared" si="4"/>
        <v>253.68</v>
      </c>
      <c r="F75" s="5">
        <f t="shared" si="0"/>
        <v>887.88</v>
      </c>
      <c r="G75" s="6">
        <v>422.8</v>
      </c>
      <c r="H75" s="5">
        <f t="shared" si="3"/>
        <v>167.36538000000002</v>
      </c>
      <c r="I75" s="5">
        <f t="shared" si="1"/>
        <v>585.77883000000008</v>
      </c>
      <c r="J75" s="8"/>
    </row>
    <row r="76" spans="1:10" x14ac:dyDescent="0.25">
      <c r="A76" s="7">
        <v>29132</v>
      </c>
      <c r="B76" s="13">
        <v>14</v>
      </c>
      <c r="C76" s="13" t="s">
        <v>17</v>
      </c>
      <c r="D76" s="4">
        <v>2</v>
      </c>
      <c r="E76" s="5">
        <f t="shared" si="4"/>
        <v>20.334</v>
      </c>
      <c r="F76" s="5">
        <f t="shared" si="0"/>
        <v>71.168999999999997</v>
      </c>
      <c r="G76" s="6">
        <v>33.89</v>
      </c>
      <c r="H76" s="5">
        <f t="shared" ref="H76:H140" si="5">(G76*1.04/1.2*0.5*0.7*0.9)*1.45</f>
        <v>13.4153565</v>
      </c>
      <c r="I76" s="5">
        <f t="shared" si="1"/>
        <v>46.953747749999998</v>
      </c>
      <c r="J76" s="8"/>
    </row>
    <row r="77" spans="1:10" x14ac:dyDescent="0.25">
      <c r="A77" s="7" t="s">
        <v>73</v>
      </c>
      <c r="B77" s="13">
        <v>14</v>
      </c>
      <c r="C77" s="13" t="s">
        <v>17</v>
      </c>
      <c r="D77" s="4">
        <v>1</v>
      </c>
      <c r="E77" s="5">
        <f t="shared" si="4"/>
        <v>43.788000000000004</v>
      </c>
      <c r="F77" s="5">
        <f t="shared" si="0"/>
        <v>153.25800000000001</v>
      </c>
      <c r="G77" s="6">
        <v>72.98</v>
      </c>
      <c r="H77" s="5">
        <f t="shared" si="5"/>
        <v>28.889133000000005</v>
      </c>
      <c r="I77" s="5">
        <f t="shared" si="1"/>
        <v>101.11196550000001</v>
      </c>
      <c r="J77" s="8"/>
    </row>
    <row r="78" spans="1:10" x14ac:dyDescent="0.25">
      <c r="A78" s="7">
        <v>29369</v>
      </c>
      <c r="B78" s="13">
        <v>14</v>
      </c>
      <c r="C78" s="13" t="s">
        <v>17</v>
      </c>
      <c r="D78" s="4">
        <v>4</v>
      </c>
      <c r="E78" s="5">
        <f t="shared" si="4"/>
        <v>46.835999999999999</v>
      </c>
      <c r="F78" s="5">
        <f t="shared" si="0"/>
        <v>163.92599999999999</v>
      </c>
      <c r="G78" s="6">
        <v>78.06</v>
      </c>
      <c r="H78" s="5">
        <f t="shared" si="5"/>
        <v>30.900051000000001</v>
      </c>
      <c r="I78" s="5">
        <f t="shared" si="1"/>
        <v>108.15017850000001</v>
      </c>
      <c r="J78" s="8"/>
    </row>
    <row r="79" spans="1:10" x14ac:dyDescent="0.25">
      <c r="A79" s="7">
        <v>29351</v>
      </c>
      <c r="B79" s="13">
        <v>14</v>
      </c>
      <c r="C79" s="13" t="s">
        <v>17</v>
      </c>
      <c r="D79" s="4">
        <v>3</v>
      </c>
      <c r="E79" s="5">
        <f t="shared" si="4"/>
        <v>46.835999999999999</v>
      </c>
      <c r="F79" s="5">
        <f t="shared" si="0"/>
        <v>163.92599999999999</v>
      </c>
      <c r="G79" s="6">
        <v>78.06</v>
      </c>
      <c r="H79" s="5">
        <f t="shared" si="5"/>
        <v>30.900051000000001</v>
      </c>
      <c r="I79" s="5">
        <f t="shared" si="1"/>
        <v>108.15017850000001</v>
      </c>
      <c r="J79" s="8"/>
    </row>
    <row r="80" spans="1:10" x14ac:dyDescent="0.25">
      <c r="A80" s="7">
        <v>29351</v>
      </c>
      <c r="B80" s="13">
        <v>18</v>
      </c>
      <c r="C80" s="13" t="s">
        <v>17</v>
      </c>
      <c r="D80" s="4">
        <v>6</v>
      </c>
      <c r="E80" s="5">
        <f t="shared" si="4"/>
        <v>61.29</v>
      </c>
      <c r="F80" s="5">
        <f t="shared" si="0"/>
        <v>214.51499999999999</v>
      </c>
      <c r="G80" s="6">
        <v>102.15</v>
      </c>
      <c r="H80" s="5">
        <f t="shared" si="5"/>
        <v>40.436077499999996</v>
      </c>
      <c r="I80" s="5">
        <f t="shared" si="1"/>
        <v>141.52627124999998</v>
      </c>
      <c r="J80" s="8"/>
    </row>
    <row r="81" spans="1:10" x14ac:dyDescent="0.25">
      <c r="A81" s="7">
        <v>29351</v>
      </c>
      <c r="B81" s="13">
        <v>27</v>
      </c>
      <c r="C81" s="13" t="s">
        <v>17</v>
      </c>
      <c r="D81" s="4">
        <v>3</v>
      </c>
      <c r="E81" s="5">
        <f t="shared" si="4"/>
        <v>98.61</v>
      </c>
      <c r="F81" s="5">
        <f t="shared" ref="F81:F146" si="6">E81*3.5</f>
        <v>345.13499999999999</v>
      </c>
      <c r="G81" s="6">
        <v>164.35</v>
      </c>
      <c r="H81" s="5">
        <f t="shared" si="5"/>
        <v>65.057947499999983</v>
      </c>
      <c r="I81" s="5">
        <f t="shared" ref="I81:I146" si="7">H81*3.5</f>
        <v>227.70281624999996</v>
      </c>
      <c r="J81" s="8"/>
    </row>
    <row r="82" spans="1:10" x14ac:dyDescent="0.25">
      <c r="A82" s="7">
        <v>29351</v>
      </c>
      <c r="B82" s="13">
        <v>39</v>
      </c>
      <c r="C82" s="13" t="s">
        <v>17</v>
      </c>
      <c r="D82" s="4">
        <v>10</v>
      </c>
      <c r="E82" s="5">
        <f t="shared" si="4"/>
        <v>206.178</v>
      </c>
      <c r="F82" s="5">
        <f t="shared" si="6"/>
        <v>721.62300000000005</v>
      </c>
      <c r="G82" s="6">
        <v>343.63</v>
      </c>
      <c r="H82" s="5">
        <f t="shared" si="5"/>
        <v>136.0259355</v>
      </c>
      <c r="I82" s="5">
        <f t="shared" si="7"/>
        <v>476.09077424999998</v>
      </c>
      <c r="J82" s="8"/>
    </row>
    <row r="83" spans="1:10" x14ac:dyDescent="0.25">
      <c r="A83" s="7">
        <v>29351</v>
      </c>
      <c r="B83" s="13">
        <v>44</v>
      </c>
      <c r="C83" s="13" t="s">
        <v>17</v>
      </c>
      <c r="D83" s="4">
        <v>7</v>
      </c>
      <c r="E83" s="5">
        <f t="shared" si="4"/>
        <v>239.65199999999999</v>
      </c>
      <c r="F83" s="5">
        <f t="shared" si="6"/>
        <v>838.78199999999993</v>
      </c>
      <c r="G83" s="6">
        <v>399.42</v>
      </c>
      <c r="H83" s="5">
        <f t="shared" si="5"/>
        <v>158.11040700000001</v>
      </c>
      <c r="I83" s="5">
        <f t="shared" si="7"/>
        <v>553.38642449999998</v>
      </c>
      <c r="J83" s="8"/>
    </row>
    <row r="84" spans="1:10" x14ac:dyDescent="0.25">
      <c r="A84" s="7">
        <v>29563</v>
      </c>
      <c r="B84" s="13">
        <v>16</v>
      </c>
      <c r="C84" s="13" t="s">
        <v>17</v>
      </c>
      <c r="D84" s="4">
        <v>4</v>
      </c>
      <c r="E84" s="5">
        <f t="shared" si="4"/>
        <v>18.689999999999998</v>
      </c>
      <c r="F84" s="5">
        <f t="shared" si="6"/>
        <v>65.414999999999992</v>
      </c>
      <c r="G84" s="6">
        <v>31.15</v>
      </c>
      <c r="H84" s="5">
        <f t="shared" si="5"/>
        <v>12.330727499999998</v>
      </c>
      <c r="I84" s="5">
        <f t="shared" si="7"/>
        <v>43.157546249999996</v>
      </c>
      <c r="J84" s="8"/>
    </row>
    <row r="85" spans="1:10" x14ac:dyDescent="0.25">
      <c r="A85" s="7">
        <v>29369</v>
      </c>
      <c r="B85" s="13">
        <v>18</v>
      </c>
      <c r="C85" s="13" t="s">
        <v>17</v>
      </c>
      <c r="D85" s="4">
        <v>9</v>
      </c>
      <c r="E85" s="5">
        <f t="shared" si="4"/>
        <v>61.29</v>
      </c>
      <c r="F85" s="5">
        <f t="shared" si="6"/>
        <v>214.51499999999999</v>
      </c>
      <c r="G85" s="6">
        <v>102.15</v>
      </c>
      <c r="H85" s="5">
        <f t="shared" si="5"/>
        <v>40.436077499999996</v>
      </c>
      <c r="I85" s="5">
        <f t="shared" si="7"/>
        <v>141.52627124999998</v>
      </c>
      <c r="J85" s="8"/>
    </row>
    <row r="86" spans="1:10" x14ac:dyDescent="0.25">
      <c r="A86" s="7">
        <v>29369</v>
      </c>
      <c r="B86" s="13">
        <v>22</v>
      </c>
      <c r="C86" s="13" t="s">
        <v>17</v>
      </c>
      <c r="D86" s="4">
        <v>8</v>
      </c>
      <c r="E86" s="5">
        <f t="shared" si="4"/>
        <v>74.675999999999988</v>
      </c>
      <c r="F86" s="5">
        <f t="shared" si="6"/>
        <v>261.36599999999999</v>
      </c>
      <c r="G86" s="6">
        <v>124.46</v>
      </c>
      <c r="H86" s="5">
        <f t="shared" si="5"/>
        <v>49.267491</v>
      </c>
      <c r="I86" s="5">
        <f t="shared" si="7"/>
        <v>172.4362185</v>
      </c>
      <c r="J86" s="8"/>
    </row>
    <row r="87" spans="1:10" x14ac:dyDescent="0.25">
      <c r="A87" s="7">
        <v>29369</v>
      </c>
      <c r="B87" s="13">
        <v>27</v>
      </c>
      <c r="C87" s="13" t="s">
        <v>17</v>
      </c>
      <c r="D87" s="4">
        <v>2</v>
      </c>
      <c r="E87" s="5">
        <f t="shared" si="4"/>
        <v>98.61</v>
      </c>
      <c r="F87" s="5">
        <f t="shared" si="6"/>
        <v>345.13499999999999</v>
      </c>
      <c r="G87" s="6">
        <v>164.35</v>
      </c>
      <c r="H87" s="5">
        <f t="shared" si="5"/>
        <v>65.057947499999983</v>
      </c>
      <c r="I87" s="5">
        <f t="shared" si="7"/>
        <v>227.70281624999996</v>
      </c>
      <c r="J87" s="8"/>
    </row>
    <row r="88" spans="1:10" x14ac:dyDescent="0.25">
      <c r="A88" s="7">
        <v>29369</v>
      </c>
      <c r="B88" s="13">
        <v>30</v>
      </c>
      <c r="C88" s="13" t="s">
        <v>17</v>
      </c>
      <c r="D88" s="4">
        <v>1</v>
      </c>
      <c r="E88" s="5">
        <f t="shared" si="4"/>
        <v>119.11799999999999</v>
      </c>
      <c r="F88" s="5">
        <f t="shared" si="6"/>
        <v>416.91300000000001</v>
      </c>
      <c r="G88" s="6">
        <v>198.53</v>
      </c>
      <c r="H88" s="5">
        <f t="shared" si="5"/>
        <v>78.588100499999996</v>
      </c>
      <c r="I88" s="5">
        <f t="shared" si="7"/>
        <v>275.05835174999999</v>
      </c>
      <c r="J88" s="8"/>
    </row>
    <row r="89" spans="1:10" x14ac:dyDescent="0.25">
      <c r="A89" s="7">
        <v>29369</v>
      </c>
      <c r="B89" s="13">
        <v>39</v>
      </c>
      <c r="C89" s="13" t="s">
        <v>17</v>
      </c>
      <c r="D89" s="4">
        <v>5</v>
      </c>
      <c r="E89" s="5">
        <f t="shared" si="4"/>
        <v>206.178</v>
      </c>
      <c r="F89" s="5">
        <f t="shared" si="6"/>
        <v>721.62300000000005</v>
      </c>
      <c r="G89" s="6">
        <v>343.63</v>
      </c>
      <c r="H89" s="5">
        <f t="shared" si="5"/>
        <v>136.0259355</v>
      </c>
      <c r="I89" s="5">
        <f t="shared" si="7"/>
        <v>476.09077424999998</v>
      </c>
      <c r="J89" s="8"/>
    </row>
    <row r="90" spans="1:10" x14ac:dyDescent="0.25">
      <c r="A90" s="7">
        <v>29369</v>
      </c>
      <c r="B90" s="13">
        <v>44</v>
      </c>
      <c r="C90" s="13" t="s">
        <v>17</v>
      </c>
      <c r="D90" s="4">
        <v>9</v>
      </c>
      <c r="E90" s="5">
        <f t="shared" si="4"/>
        <v>239.65199999999999</v>
      </c>
      <c r="F90" s="5">
        <f t="shared" si="6"/>
        <v>838.78199999999993</v>
      </c>
      <c r="G90" s="6">
        <v>399.42</v>
      </c>
      <c r="H90" s="5">
        <f t="shared" si="5"/>
        <v>158.11040700000001</v>
      </c>
      <c r="I90" s="5">
        <f t="shared" si="7"/>
        <v>553.38642449999998</v>
      </c>
      <c r="J90" s="8"/>
    </row>
    <row r="91" spans="1:10" x14ac:dyDescent="0.25">
      <c r="A91" s="7">
        <v>29351</v>
      </c>
      <c r="B91" s="13">
        <v>22</v>
      </c>
      <c r="C91" s="13" t="s">
        <v>17</v>
      </c>
      <c r="D91" s="4">
        <v>8</v>
      </c>
      <c r="E91" s="5">
        <f t="shared" si="4"/>
        <v>74.675999999999988</v>
      </c>
      <c r="F91" s="5">
        <f t="shared" si="6"/>
        <v>261.36599999999999</v>
      </c>
      <c r="G91" s="6">
        <v>124.46</v>
      </c>
      <c r="H91" s="5">
        <f t="shared" si="5"/>
        <v>49.267491</v>
      </c>
      <c r="I91" s="5">
        <f t="shared" si="7"/>
        <v>172.4362185</v>
      </c>
      <c r="J91" s="8"/>
    </row>
    <row r="92" spans="1:10" x14ac:dyDescent="0.25">
      <c r="A92" s="7">
        <v>29541</v>
      </c>
      <c r="B92" s="13">
        <v>21</v>
      </c>
      <c r="C92" s="13" t="s">
        <v>17</v>
      </c>
      <c r="D92" s="4">
        <v>20</v>
      </c>
      <c r="E92" s="5">
        <f t="shared" si="4"/>
        <v>24.437999999999999</v>
      </c>
      <c r="F92" s="5">
        <f t="shared" si="6"/>
        <v>85.533000000000001</v>
      </c>
      <c r="G92" s="6">
        <v>40.729999999999997</v>
      </c>
      <c r="H92" s="5">
        <f t="shared" si="5"/>
        <v>16.122970499999997</v>
      </c>
      <c r="I92" s="5">
        <f t="shared" si="7"/>
        <v>56.430396749999993</v>
      </c>
      <c r="J92" s="8"/>
    </row>
    <row r="93" spans="1:10" x14ac:dyDescent="0.25">
      <c r="A93" s="7">
        <v>29552</v>
      </c>
      <c r="B93" s="13">
        <v>29</v>
      </c>
      <c r="C93" s="13" t="s">
        <v>17</v>
      </c>
      <c r="D93" s="4">
        <v>8</v>
      </c>
      <c r="E93" s="5">
        <f t="shared" si="4"/>
        <v>26.586000000000002</v>
      </c>
      <c r="F93" s="5">
        <f t="shared" si="6"/>
        <v>93.051000000000002</v>
      </c>
      <c r="G93" s="6">
        <v>44.31</v>
      </c>
      <c r="H93" s="5">
        <f t="shared" si="5"/>
        <v>17.5401135</v>
      </c>
      <c r="I93" s="5">
        <f t="shared" si="7"/>
        <v>61.390397249999999</v>
      </c>
      <c r="J93" s="8"/>
    </row>
    <row r="94" spans="1:10" x14ac:dyDescent="0.25">
      <c r="A94" s="7">
        <v>29350</v>
      </c>
      <c r="B94" s="13">
        <v>16</v>
      </c>
      <c r="C94" s="13" t="s">
        <v>17</v>
      </c>
      <c r="D94" s="4">
        <v>2</v>
      </c>
      <c r="E94" s="5">
        <f t="shared" si="4"/>
        <v>22.554000000000002</v>
      </c>
      <c r="F94" s="5">
        <f t="shared" si="6"/>
        <v>78.939000000000007</v>
      </c>
      <c r="G94" s="6">
        <v>37.590000000000003</v>
      </c>
      <c r="H94" s="5">
        <f t="shared" si="5"/>
        <v>14.880001500000002</v>
      </c>
      <c r="I94" s="5">
        <f t="shared" si="7"/>
        <v>52.080005250000006</v>
      </c>
      <c r="J94" s="8"/>
    </row>
    <row r="95" spans="1:10" x14ac:dyDescent="0.25">
      <c r="A95" s="7">
        <v>29574</v>
      </c>
      <c r="B95" s="13">
        <v>27</v>
      </c>
      <c r="C95" s="13" t="s">
        <v>17</v>
      </c>
      <c r="D95" s="4">
        <v>7</v>
      </c>
      <c r="E95" s="5">
        <f t="shared" si="4"/>
        <v>43.727999999999994</v>
      </c>
      <c r="F95" s="5">
        <f t="shared" si="6"/>
        <v>153.04799999999997</v>
      </c>
      <c r="G95" s="6">
        <v>72.88</v>
      </c>
      <c r="H95" s="5">
        <f t="shared" si="5"/>
        <v>28.849547999999999</v>
      </c>
      <c r="I95" s="5">
        <f t="shared" si="7"/>
        <v>100.973418</v>
      </c>
      <c r="J95" s="8"/>
    </row>
    <row r="96" spans="1:10" x14ac:dyDescent="0.25">
      <c r="A96" s="7">
        <v>29472</v>
      </c>
      <c r="B96" s="13">
        <v>22</v>
      </c>
      <c r="C96" s="13" t="s">
        <v>19</v>
      </c>
      <c r="D96" s="4">
        <v>2</v>
      </c>
      <c r="E96" s="5">
        <f t="shared" si="4"/>
        <v>24.437999999999999</v>
      </c>
      <c r="F96" s="5">
        <f t="shared" si="6"/>
        <v>85.533000000000001</v>
      </c>
      <c r="G96" s="6">
        <v>40.729999999999997</v>
      </c>
      <c r="H96" s="5">
        <f t="shared" si="5"/>
        <v>16.122970499999997</v>
      </c>
      <c r="I96" s="5">
        <f t="shared" si="7"/>
        <v>56.430396749999993</v>
      </c>
      <c r="J96" s="8"/>
    </row>
    <row r="97" spans="1:10" x14ac:dyDescent="0.25">
      <c r="A97" s="7">
        <v>29144</v>
      </c>
      <c r="B97" s="13">
        <v>22</v>
      </c>
      <c r="C97" s="13" t="s">
        <v>18</v>
      </c>
      <c r="D97" s="4">
        <v>7</v>
      </c>
      <c r="E97" s="5">
        <f t="shared" si="4"/>
        <v>28.613999999999997</v>
      </c>
      <c r="F97" s="5">
        <f t="shared" si="6"/>
        <v>100.14899999999999</v>
      </c>
      <c r="G97" s="6">
        <v>47.69</v>
      </c>
      <c r="H97" s="5">
        <f t="shared" si="5"/>
        <v>18.878086499999998</v>
      </c>
      <c r="I97" s="5">
        <f t="shared" si="7"/>
        <v>66.073302749999996</v>
      </c>
      <c r="J97" s="8"/>
    </row>
    <row r="98" spans="1:10" x14ac:dyDescent="0.25">
      <c r="A98" s="7">
        <v>29448</v>
      </c>
      <c r="B98" s="13">
        <v>21</v>
      </c>
      <c r="C98" s="13" t="s">
        <v>74</v>
      </c>
      <c r="D98" s="4">
        <v>1</v>
      </c>
      <c r="E98" s="5">
        <f t="shared" si="4"/>
        <v>24.437999999999999</v>
      </c>
      <c r="F98" s="5">
        <f t="shared" si="6"/>
        <v>85.533000000000001</v>
      </c>
      <c r="G98" s="6">
        <v>40.729999999999997</v>
      </c>
      <c r="H98" s="5">
        <f t="shared" si="5"/>
        <v>16.122970499999997</v>
      </c>
      <c r="I98" s="5">
        <f t="shared" si="7"/>
        <v>56.430396749999993</v>
      </c>
      <c r="J98" s="8"/>
    </row>
    <row r="99" spans="1:10" x14ac:dyDescent="0.25">
      <c r="A99" s="7">
        <v>29528</v>
      </c>
      <c r="B99" s="13">
        <v>26</v>
      </c>
      <c r="C99" s="13" t="s">
        <v>18</v>
      </c>
      <c r="D99" s="4">
        <v>4</v>
      </c>
      <c r="E99" s="5">
        <f t="shared" si="4"/>
        <v>26.586000000000002</v>
      </c>
      <c r="F99" s="5">
        <f t="shared" si="6"/>
        <v>93.051000000000002</v>
      </c>
      <c r="G99" s="6">
        <v>44.31</v>
      </c>
      <c r="H99" s="5">
        <f t="shared" si="5"/>
        <v>17.5401135</v>
      </c>
      <c r="I99" s="5">
        <f t="shared" si="7"/>
        <v>61.390397249999999</v>
      </c>
      <c r="J99" s="8"/>
    </row>
    <row r="100" spans="1:10" x14ac:dyDescent="0.25">
      <c r="A100" s="7">
        <v>19823</v>
      </c>
      <c r="B100" s="13">
        <v>9</v>
      </c>
      <c r="C100" s="13" t="s">
        <v>39</v>
      </c>
      <c r="D100" s="4">
        <v>3</v>
      </c>
      <c r="E100" s="5">
        <f t="shared" si="4"/>
        <v>27.371999999999996</v>
      </c>
      <c r="F100" s="5">
        <f t="shared" si="6"/>
        <v>95.801999999999992</v>
      </c>
      <c r="G100" s="6">
        <v>45.62</v>
      </c>
      <c r="H100" s="5">
        <f t="shared" si="5"/>
        <v>18.058676999999999</v>
      </c>
      <c r="I100" s="5">
        <f t="shared" si="7"/>
        <v>63.205369499999996</v>
      </c>
      <c r="J100" s="8"/>
    </row>
    <row r="101" spans="1:10" x14ac:dyDescent="0.25">
      <c r="A101" s="7">
        <v>19823</v>
      </c>
      <c r="B101" s="13">
        <v>13</v>
      </c>
      <c r="C101" s="13" t="s">
        <v>39</v>
      </c>
      <c r="D101" s="4">
        <v>1</v>
      </c>
      <c r="E101" s="5">
        <f t="shared" si="4"/>
        <v>121.782</v>
      </c>
      <c r="F101" s="5">
        <f t="shared" si="6"/>
        <v>426.23699999999997</v>
      </c>
      <c r="G101" s="6">
        <v>202.97</v>
      </c>
      <c r="H101" s="5">
        <f t="shared" si="5"/>
        <v>80.345674499999987</v>
      </c>
      <c r="I101" s="5">
        <f t="shared" si="7"/>
        <v>281.20986074999996</v>
      </c>
      <c r="J101" s="8"/>
    </row>
    <row r="102" spans="1:10" x14ac:dyDescent="0.25">
      <c r="A102" s="7">
        <v>19823</v>
      </c>
      <c r="B102" s="13">
        <v>18</v>
      </c>
      <c r="C102" s="13" t="s">
        <v>39</v>
      </c>
      <c r="D102" s="4">
        <v>1</v>
      </c>
      <c r="E102" s="5">
        <f t="shared" si="4"/>
        <v>196.96199999999999</v>
      </c>
      <c r="F102" s="5">
        <f t="shared" si="6"/>
        <v>689.36699999999996</v>
      </c>
      <c r="G102" s="6">
        <v>328.27</v>
      </c>
      <c r="H102" s="5">
        <f t="shared" si="5"/>
        <v>129.94567950000001</v>
      </c>
      <c r="I102" s="5">
        <f t="shared" si="7"/>
        <v>454.80987825000005</v>
      </c>
      <c r="J102" s="8"/>
    </row>
    <row r="103" spans="1:10" x14ac:dyDescent="0.25">
      <c r="A103" s="3">
        <v>19856</v>
      </c>
      <c r="B103" s="4">
        <v>18</v>
      </c>
      <c r="C103" s="4" t="s">
        <v>23</v>
      </c>
      <c r="D103" s="4">
        <v>2</v>
      </c>
      <c r="E103" s="5">
        <f t="shared" si="4"/>
        <v>249.27599999999998</v>
      </c>
      <c r="F103" s="5">
        <f t="shared" si="6"/>
        <v>872.46599999999989</v>
      </c>
      <c r="G103" s="6">
        <v>415.46</v>
      </c>
      <c r="H103" s="5">
        <f t="shared" si="5"/>
        <v>164.45984099999998</v>
      </c>
      <c r="I103" s="5">
        <f t="shared" si="7"/>
        <v>575.6094435</v>
      </c>
      <c r="J103" s="8"/>
    </row>
    <row r="104" spans="1:10" x14ac:dyDescent="0.25">
      <c r="A104" s="3">
        <v>19768</v>
      </c>
      <c r="B104" s="4">
        <v>9</v>
      </c>
      <c r="C104" s="4" t="s">
        <v>30</v>
      </c>
      <c r="D104" s="4">
        <v>8</v>
      </c>
      <c r="E104" s="5">
        <f t="shared" si="4"/>
        <v>24.197999999999997</v>
      </c>
      <c r="F104" s="5">
        <f t="shared" si="6"/>
        <v>84.692999999999984</v>
      </c>
      <c r="G104" s="6">
        <v>40.33</v>
      </c>
      <c r="H104" s="5">
        <f t="shared" si="5"/>
        <v>15.9646305</v>
      </c>
      <c r="I104" s="5">
        <f t="shared" si="7"/>
        <v>55.876206750000001</v>
      </c>
      <c r="J104" s="8"/>
    </row>
    <row r="105" spans="1:10" x14ac:dyDescent="0.25">
      <c r="A105" s="3">
        <v>19768</v>
      </c>
      <c r="B105" s="4">
        <v>13</v>
      </c>
      <c r="C105" s="4" t="s">
        <v>30</v>
      </c>
      <c r="D105" s="4">
        <v>15</v>
      </c>
      <c r="E105" s="5">
        <f t="shared" si="4"/>
        <v>45.198</v>
      </c>
      <c r="F105" s="5">
        <f t="shared" si="6"/>
        <v>158.19300000000001</v>
      </c>
      <c r="G105" s="6">
        <v>75.33</v>
      </c>
      <c r="H105" s="5">
        <f t="shared" si="5"/>
        <v>29.819380499999998</v>
      </c>
      <c r="I105" s="5">
        <f t="shared" si="7"/>
        <v>104.36783174999999</v>
      </c>
      <c r="J105" s="8"/>
    </row>
    <row r="106" spans="1:10" x14ac:dyDescent="0.25">
      <c r="A106" s="3">
        <v>19768</v>
      </c>
      <c r="B106" s="4">
        <v>18</v>
      </c>
      <c r="C106" s="4" t="s">
        <v>31</v>
      </c>
      <c r="D106" s="4">
        <v>60</v>
      </c>
      <c r="E106" s="5">
        <f t="shared" si="4"/>
        <v>64.89</v>
      </c>
      <c r="F106" s="5">
        <f t="shared" si="6"/>
        <v>227.11500000000001</v>
      </c>
      <c r="G106" s="6">
        <v>108.15</v>
      </c>
      <c r="H106" s="5">
        <f t="shared" si="5"/>
        <v>42.811177500000007</v>
      </c>
      <c r="I106" s="5">
        <f t="shared" si="7"/>
        <v>149.83912125000003</v>
      </c>
      <c r="J106" s="8"/>
    </row>
    <row r="107" spans="1:10" x14ac:dyDescent="0.25">
      <c r="A107" s="3" t="s">
        <v>26</v>
      </c>
      <c r="B107" s="4">
        <v>13</v>
      </c>
      <c r="C107" s="4" t="s">
        <v>27</v>
      </c>
      <c r="D107" s="4">
        <v>15</v>
      </c>
      <c r="E107" s="5">
        <f t="shared" si="4"/>
        <v>65.207999999999998</v>
      </c>
      <c r="F107" s="5">
        <f t="shared" si="6"/>
        <v>228.22800000000001</v>
      </c>
      <c r="G107" s="6">
        <v>108.68</v>
      </c>
      <c r="H107" s="5">
        <f t="shared" si="5"/>
        <v>43.020978000000007</v>
      </c>
      <c r="I107" s="5">
        <f t="shared" si="7"/>
        <v>150.57342300000002</v>
      </c>
      <c r="J107" s="8"/>
    </row>
    <row r="108" spans="1:10" x14ac:dyDescent="0.25">
      <c r="A108" s="3" t="s">
        <v>26</v>
      </c>
      <c r="B108" s="4">
        <v>18</v>
      </c>
      <c r="C108" s="4" t="s">
        <v>27</v>
      </c>
      <c r="D108" s="4">
        <v>34</v>
      </c>
      <c r="E108" s="5">
        <f t="shared" si="4"/>
        <v>90.09</v>
      </c>
      <c r="F108" s="5">
        <f t="shared" si="6"/>
        <v>315.315</v>
      </c>
      <c r="G108" s="6">
        <v>150.15</v>
      </c>
      <c r="H108" s="5">
        <f t="shared" si="5"/>
        <v>59.436877500000008</v>
      </c>
      <c r="I108" s="5">
        <f t="shared" si="7"/>
        <v>208.02907125000002</v>
      </c>
      <c r="J108" s="8"/>
    </row>
    <row r="109" spans="1:10" x14ac:dyDescent="0.25">
      <c r="A109" s="3">
        <v>19377</v>
      </c>
      <c r="B109" s="4">
        <v>13</v>
      </c>
      <c r="C109" s="4" t="s">
        <v>32</v>
      </c>
      <c r="D109" s="4">
        <v>116</v>
      </c>
      <c r="E109" s="5">
        <f t="shared" si="4"/>
        <v>45.198</v>
      </c>
      <c r="F109" s="5">
        <f t="shared" si="6"/>
        <v>158.19300000000001</v>
      </c>
      <c r="G109" s="6">
        <v>75.33</v>
      </c>
      <c r="H109" s="5">
        <f t="shared" si="5"/>
        <v>29.819380499999998</v>
      </c>
      <c r="I109" s="5">
        <f t="shared" si="7"/>
        <v>104.36783174999999</v>
      </c>
      <c r="J109" s="8"/>
    </row>
    <row r="110" spans="1:10" x14ac:dyDescent="0.25">
      <c r="A110" s="3">
        <v>19377</v>
      </c>
      <c r="B110" s="4">
        <v>18</v>
      </c>
      <c r="C110" s="4" t="s">
        <v>32</v>
      </c>
      <c r="D110" s="4">
        <v>6</v>
      </c>
      <c r="E110" s="5">
        <f t="shared" si="4"/>
        <v>64.89</v>
      </c>
      <c r="F110" s="5">
        <f t="shared" si="6"/>
        <v>227.11500000000001</v>
      </c>
      <c r="G110" s="6">
        <v>108.15</v>
      </c>
      <c r="H110" s="5">
        <f t="shared" si="5"/>
        <v>42.811177500000007</v>
      </c>
      <c r="I110" s="5">
        <f t="shared" si="7"/>
        <v>149.83912125000003</v>
      </c>
      <c r="J110" s="8"/>
    </row>
    <row r="111" spans="1:10" x14ac:dyDescent="0.25">
      <c r="A111" s="3" t="s">
        <v>28</v>
      </c>
      <c r="B111" s="4">
        <v>13</v>
      </c>
      <c r="C111" s="4" t="s">
        <v>29</v>
      </c>
      <c r="D111" s="4">
        <v>11</v>
      </c>
      <c r="E111" s="5">
        <f t="shared" si="4"/>
        <v>65.207999999999998</v>
      </c>
      <c r="F111" s="5">
        <f t="shared" si="6"/>
        <v>228.22800000000001</v>
      </c>
      <c r="G111" s="6">
        <v>108.68</v>
      </c>
      <c r="H111" s="5">
        <f t="shared" si="5"/>
        <v>43.020978000000007</v>
      </c>
      <c r="I111" s="5">
        <f t="shared" si="7"/>
        <v>150.57342300000002</v>
      </c>
      <c r="J111" s="8"/>
    </row>
    <row r="112" spans="1:10" x14ac:dyDescent="0.25">
      <c r="A112" s="3" t="s">
        <v>28</v>
      </c>
      <c r="B112" s="4">
        <v>18</v>
      </c>
      <c r="C112" s="4" t="s">
        <v>29</v>
      </c>
      <c r="D112" s="4">
        <v>19</v>
      </c>
      <c r="E112" s="5">
        <f t="shared" si="4"/>
        <v>90.09</v>
      </c>
      <c r="F112" s="5">
        <f t="shared" si="6"/>
        <v>315.315</v>
      </c>
      <c r="G112" s="6">
        <v>150.15</v>
      </c>
      <c r="H112" s="5">
        <f t="shared" si="5"/>
        <v>59.436877500000008</v>
      </c>
      <c r="I112" s="5">
        <f t="shared" si="7"/>
        <v>208.02907125000002</v>
      </c>
      <c r="J112" s="8"/>
    </row>
    <row r="113" spans="1:10" x14ac:dyDescent="0.25">
      <c r="A113" s="3">
        <v>21223</v>
      </c>
      <c r="B113" s="4">
        <v>13</v>
      </c>
      <c r="C113" s="4" t="s">
        <v>75</v>
      </c>
      <c r="D113" s="4">
        <v>2</v>
      </c>
      <c r="E113" s="5">
        <f t="shared" si="4"/>
        <v>171.15</v>
      </c>
      <c r="F113" s="5">
        <f t="shared" si="6"/>
        <v>599.02499999999998</v>
      </c>
      <c r="G113" s="6">
        <v>285.25</v>
      </c>
      <c r="H113" s="5">
        <f t="shared" si="5"/>
        <v>112.91621250000001</v>
      </c>
      <c r="I113" s="5">
        <f t="shared" si="7"/>
        <v>395.20674375000004</v>
      </c>
      <c r="J113" s="8"/>
    </row>
    <row r="114" spans="1:10" x14ac:dyDescent="0.25">
      <c r="A114" s="3">
        <v>21256</v>
      </c>
      <c r="B114" s="4">
        <v>9</v>
      </c>
      <c r="C114" s="4" t="s">
        <v>34</v>
      </c>
      <c r="D114" s="4">
        <v>4</v>
      </c>
      <c r="E114" s="5">
        <f t="shared" si="4"/>
        <v>24.197999999999997</v>
      </c>
      <c r="F114" s="5">
        <f t="shared" si="6"/>
        <v>84.692999999999984</v>
      </c>
      <c r="G114" s="6">
        <v>40.33</v>
      </c>
      <c r="H114" s="5">
        <f t="shared" si="5"/>
        <v>15.9646305</v>
      </c>
      <c r="I114" s="5">
        <f t="shared" si="7"/>
        <v>55.876206750000001</v>
      </c>
      <c r="J114" s="8"/>
    </row>
    <row r="115" spans="1:10" x14ac:dyDescent="0.25">
      <c r="A115" s="3">
        <v>21256</v>
      </c>
      <c r="B115" s="4">
        <v>13</v>
      </c>
      <c r="C115" s="4" t="s">
        <v>33</v>
      </c>
      <c r="D115" s="4">
        <v>330</v>
      </c>
      <c r="E115" s="5">
        <f t="shared" si="4"/>
        <v>45.198</v>
      </c>
      <c r="F115" s="5">
        <f t="shared" si="6"/>
        <v>158.19300000000001</v>
      </c>
      <c r="G115" s="6">
        <v>75.33</v>
      </c>
      <c r="H115" s="5">
        <f t="shared" si="5"/>
        <v>29.819380499999998</v>
      </c>
      <c r="I115" s="5">
        <f t="shared" si="7"/>
        <v>104.36783174999999</v>
      </c>
      <c r="J115" s="8"/>
    </row>
    <row r="116" spans="1:10" x14ac:dyDescent="0.25">
      <c r="A116" s="3">
        <v>21256</v>
      </c>
      <c r="B116" s="4">
        <v>18</v>
      </c>
      <c r="C116" s="4" t="s">
        <v>33</v>
      </c>
      <c r="D116" s="4">
        <v>10</v>
      </c>
      <c r="E116" s="5">
        <f t="shared" si="4"/>
        <v>64.89</v>
      </c>
      <c r="F116" s="5">
        <f t="shared" si="6"/>
        <v>227.11500000000001</v>
      </c>
      <c r="G116" s="6">
        <v>108.15</v>
      </c>
      <c r="H116" s="5">
        <f t="shared" si="5"/>
        <v>42.811177500000007</v>
      </c>
      <c r="I116" s="5">
        <f t="shared" si="7"/>
        <v>149.83912125000003</v>
      </c>
      <c r="J116" s="8"/>
    </row>
    <row r="117" spans="1:10" x14ac:dyDescent="0.25">
      <c r="A117" s="3">
        <v>21256</v>
      </c>
      <c r="B117" s="4">
        <v>24</v>
      </c>
      <c r="C117" s="4" t="s">
        <v>33</v>
      </c>
      <c r="D117" s="4">
        <v>2</v>
      </c>
      <c r="E117" s="5">
        <f>G117*0.6</f>
        <v>154.43999999999997</v>
      </c>
      <c r="F117" s="5">
        <f t="shared" si="6"/>
        <v>540.53999999999985</v>
      </c>
      <c r="G117" s="6">
        <v>257.39999999999998</v>
      </c>
      <c r="H117" s="5">
        <f t="shared" si="5"/>
        <v>101.89178999999999</v>
      </c>
      <c r="I117" s="5">
        <f t="shared" si="7"/>
        <v>356.62126499999994</v>
      </c>
      <c r="J117" s="8"/>
    </row>
    <row r="118" spans="1:10" x14ac:dyDescent="0.25">
      <c r="A118" s="4" t="s">
        <v>25</v>
      </c>
      <c r="B118" s="4">
        <v>13</v>
      </c>
      <c r="C118" s="4" t="s">
        <v>35</v>
      </c>
      <c r="D118" s="4">
        <v>12</v>
      </c>
      <c r="E118" s="5">
        <f t="shared" ref="E118:E154" si="8">G118*0.6</f>
        <v>65.207999999999998</v>
      </c>
      <c r="F118" s="5">
        <f t="shared" si="6"/>
        <v>228.22800000000001</v>
      </c>
      <c r="G118" s="6">
        <v>108.68</v>
      </c>
      <c r="H118" s="5">
        <f t="shared" si="5"/>
        <v>43.020978000000007</v>
      </c>
      <c r="I118" s="5">
        <f t="shared" si="7"/>
        <v>150.57342300000002</v>
      </c>
      <c r="J118" s="8"/>
    </row>
    <row r="119" spans="1:10" x14ac:dyDescent="0.25">
      <c r="A119" s="3">
        <v>21015</v>
      </c>
      <c r="B119" s="4">
        <v>13</v>
      </c>
      <c r="C119" s="4" t="s">
        <v>36</v>
      </c>
      <c r="D119" s="4">
        <v>163</v>
      </c>
      <c r="E119" s="5">
        <f t="shared" si="8"/>
        <v>45.198</v>
      </c>
      <c r="F119" s="5">
        <f t="shared" si="6"/>
        <v>158.19300000000001</v>
      </c>
      <c r="G119" s="4">
        <v>75.33</v>
      </c>
      <c r="H119" s="5">
        <f t="shared" si="5"/>
        <v>29.819380499999998</v>
      </c>
      <c r="I119" s="5">
        <f t="shared" si="7"/>
        <v>104.36783174999999</v>
      </c>
      <c r="J119" s="8"/>
    </row>
    <row r="120" spans="1:10" x14ac:dyDescent="0.25">
      <c r="A120" s="3">
        <v>21015</v>
      </c>
      <c r="B120" s="4">
        <v>18</v>
      </c>
      <c r="C120" s="4" t="s">
        <v>36</v>
      </c>
      <c r="D120" s="4">
        <v>13</v>
      </c>
      <c r="E120" s="5">
        <f t="shared" si="8"/>
        <v>64.89</v>
      </c>
      <c r="F120" s="5">
        <f t="shared" si="6"/>
        <v>227.11500000000001</v>
      </c>
      <c r="G120" s="6">
        <v>108.15</v>
      </c>
      <c r="H120" s="5">
        <f t="shared" si="5"/>
        <v>42.811177500000007</v>
      </c>
      <c r="I120" s="5">
        <f t="shared" si="7"/>
        <v>149.83912125000003</v>
      </c>
      <c r="J120" s="8"/>
    </row>
    <row r="121" spans="1:10" x14ac:dyDescent="0.25">
      <c r="A121" s="4" t="s">
        <v>24</v>
      </c>
      <c r="B121" s="4">
        <v>13</v>
      </c>
      <c r="C121" s="4" t="s">
        <v>37</v>
      </c>
      <c r="D121" s="4">
        <v>9</v>
      </c>
      <c r="E121" s="5">
        <f t="shared" si="8"/>
        <v>65.207999999999998</v>
      </c>
      <c r="F121" s="5">
        <f t="shared" si="6"/>
        <v>228.22800000000001</v>
      </c>
      <c r="G121" s="6">
        <v>108.68</v>
      </c>
      <c r="H121" s="5">
        <f t="shared" si="5"/>
        <v>43.020978000000007</v>
      </c>
      <c r="I121" s="5">
        <f t="shared" si="7"/>
        <v>150.57342300000002</v>
      </c>
      <c r="J121" s="8"/>
    </row>
    <row r="122" spans="1:10" x14ac:dyDescent="0.25">
      <c r="A122" s="4" t="s">
        <v>24</v>
      </c>
      <c r="B122" s="4">
        <v>18</v>
      </c>
      <c r="C122" s="4" t="s">
        <v>37</v>
      </c>
      <c r="D122" s="4">
        <v>10</v>
      </c>
      <c r="E122" s="5">
        <f t="shared" si="8"/>
        <v>90.09</v>
      </c>
      <c r="F122" s="5">
        <f t="shared" si="6"/>
        <v>315.315</v>
      </c>
      <c r="G122" s="4">
        <v>150.15</v>
      </c>
      <c r="H122" s="5">
        <f t="shared" si="5"/>
        <v>59.436877500000008</v>
      </c>
      <c r="I122" s="5">
        <f t="shared" si="7"/>
        <v>208.02907125000002</v>
      </c>
      <c r="J122" s="8"/>
    </row>
    <row r="123" spans="1:10" x14ac:dyDescent="0.25">
      <c r="A123" s="4">
        <v>35548</v>
      </c>
      <c r="B123" s="4">
        <v>41</v>
      </c>
      <c r="C123" s="4" t="s">
        <v>16</v>
      </c>
      <c r="D123" s="4">
        <v>4</v>
      </c>
      <c r="E123" s="5">
        <f t="shared" si="8"/>
        <v>362.16</v>
      </c>
      <c r="F123" s="5">
        <f t="shared" si="6"/>
        <v>1267.5600000000002</v>
      </c>
      <c r="G123" s="4">
        <v>603.6</v>
      </c>
      <c r="H123" s="5">
        <f t="shared" si="5"/>
        <v>238.93505999999996</v>
      </c>
      <c r="I123" s="5">
        <f t="shared" si="7"/>
        <v>836.27270999999985</v>
      </c>
      <c r="J123" s="8"/>
    </row>
    <row r="124" spans="1:10" x14ac:dyDescent="0.25">
      <c r="A124" s="3">
        <v>35583</v>
      </c>
      <c r="B124" s="4">
        <v>26</v>
      </c>
      <c r="C124" s="4" t="s">
        <v>16</v>
      </c>
      <c r="D124" s="4">
        <v>5</v>
      </c>
      <c r="E124" s="5">
        <f t="shared" si="8"/>
        <v>239.136</v>
      </c>
      <c r="F124" s="5">
        <f t="shared" si="6"/>
        <v>836.976</v>
      </c>
      <c r="G124" s="6">
        <v>398.56</v>
      </c>
      <c r="H124" s="5">
        <f t="shared" si="5"/>
        <v>157.76997600000001</v>
      </c>
      <c r="I124" s="5">
        <f t="shared" si="7"/>
        <v>552.19491600000003</v>
      </c>
      <c r="J124" s="8"/>
    </row>
    <row r="125" spans="1:10" x14ac:dyDescent="0.25">
      <c r="A125" s="3">
        <v>35025</v>
      </c>
      <c r="B125" s="4">
        <v>38</v>
      </c>
      <c r="C125" s="4" t="s">
        <v>16</v>
      </c>
      <c r="D125" s="4">
        <v>5</v>
      </c>
      <c r="E125" s="5">
        <f t="shared" si="8"/>
        <v>300.55200000000002</v>
      </c>
      <c r="F125" s="5">
        <f t="shared" si="6"/>
        <v>1051.932</v>
      </c>
      <c r="G125" s="6">
        <v>500.92</v>
      </c>
      <c r="H125" s="5">
        <f t="shared" si="5"/>
        <v>198.28918200000004</v>
      </c>
      <c r="I125" s="5">
        <f t="shared" si="7"/>
        <v>694.01213700000017</v>
      </c>
      <c r="J125" s="8"/>
    </row>
    <row r="126" spans="1:10" x14ac:dyDescent="0.25">
      <c r="A126" s="3">
        <v>35583</v>
      </c>
      <c r="B126" s="4">
        <v>41</v>
      </c>
      <c r="C126" s="4" t="s">
        <v>16</v>
      </c>
      <c r="D126" s="4">
        <v>3</v>
      </c>
      <c r="E126" s="5">
        <f t="shared" si="8"/>
        <v>362.16</v>
      </c>
      <c r="F126" s="5">
        <f t="shared" si="6"/>
        <v>1267.5600000000002</v>
      </c>
      <c r="G126" s="6">
        <v>603.6</v>
      </c>
      <c r="H126" s="5">
        <f t="shared" si="5"/>
        <v>238.93505999999996</v>
      </c>
      <c r="I126" s="5">
        <f t="shared" si="7"/>
        <v>836.27270999999985</v>
      </c>
      <c r="J126" s="8"/>
    </row>
    <row r="127" spans="1:10" x14ac:dyDescent="0.25">
      <c r="A127" s="3">
        <v>37200</v>
      </c>
      <c r="B127" s="4">
        <v>57</v>
      </c>
      <c r="C127" s="4" t="s">
        <v>40</v>
      </c>
      <c r="D127" s="4">
        <v>4</v>
      </c>
      <c r="E127" s="5">
        <f t="shared" si="8"/>
        <v>1019.4</v>
      </c>
      <c r="F127" s="5">
        <f t="shared" si="6"/>
        <v>3567.9</v>
      </c>
      <c r="G127" s="6">
        <v>1699</v>
      </c>
      <c r="H127" s="5">
        <f t="shared" si="5"/>
        <v>672.54914999999994</v>
      </c>
      <c r="I127" s="5">
        <f t="shared" si="7"/>
        <v>2353.9220249999998</v>
      </c>
      <c r="J127" s="8"/>
    </row>
    <row r="128" spans="1:10" x14ac:dyDescent="0.25">
      <c r="A128" s="3">
        <v>37200</v>
      </c>
      <c r="B128" s="4">
        <v>100</v>
      </c>
      <c r="C128" s="4" t="s">
        <v>40</v>
      </c>
      <c r="D128" s="4">
        <v>1</v>
      </c>
      <c r="E128" s="5">
        <f t="shared" si="8"/>
        <v>4993.8</v>
      </c>
      <c r="F128" s="5">
        <f t="shared" si="6"/>
        <v>17478.3</v>
      </c>
      <c r="G128" s="6">
        <v>8323</v>
      </c>
      <c r="H128" s="5">
        <f t="shared" si="5"/>
        <v>3294.6595499999999</v>
      </c>
      <c r="I128" s="5">
        <f t="shared" si="7"/>
        <v>11531.308424999999</v>
      </c>
      <c r="J128" s="8"/>
    </row>
    <row r="129" spans="1:10" x14ac:dyDescent="0.25">
      <c r="A129" s="3">
        <v>37064</v>
      </c>
      <c r="B129" s="4">
        <v>57</v>
      </c>
      <c r="C129" s="4" t="s">
        <v>40</v>
      </c>
      <c r="D129" s="4">
        <v>5</v>
      </c>
      <c r="E129" s="5">
        <f t="shared" si="8"/>
        <v>888</v>
      </c>
      <c r="F129" s="5">
        <f t="shared" si="6"/>
        <v>3108</v>
      </c>
      <c r="G129" s="6">
        <v>1480</v>
      </c>
      <c r="H129" s="5">
        <f t="shared" si="5"/>
        <v>585.85800000000006</v>
      </c>
      <c r="I129" s="5">
        <f t="shared" si="7"/>
        <v>2050.5030000000002</v>
      </c>
      <c r="J129" s="8"/>
    </row>
    <row r="130" spans="1:10" x14ac:dyDescent="0.25">
      <c r="A130" s="3">
        <v>37064</v>
      </c>
      <c r="B130" s="4">
        <v>100</v>
      </c>
      <c r="C130" s="4" t="s">
        <v>40</v>
      </c>
      <c r="D130" s="4">
        <v>1</v>
      </c>
      <c r="E130" s="5">
        <f t="shared" si="8"/>
        <v>4609.8</v>
      </c>
      <c r="F130" s="5">
        <f t="shared" si="6"/>
        <v>16134.300000000001</v>
      </c>
      <c r="G130" s="6">
        <v>7683</v>
      </c>
      <c r="H130" s="5">
        <f t="shared" si="5"/>
        <v>3041.3155499999998</v>
      </c>
      <c r="I130" s="5">
        <f t="shared" si="7"/>
        <v>10644.604425</v>
      </c>
      <c r="J130" s="8"/>
    </row>
    <row r="131" spans="1:10" x14ac:dyDescent="0.25">
      <c r="A131" s="3">
        <v>1170</v>
      </c>
      <c r="B131" s="4">
        <v>13</v>
      </c>
      <c r="C131" s="4" t="s">
        <v>41</v>
      </c>
      <c r="D131" s="4">
        <v>1</v>
      </c>
      <c r="E131" s="5">
        <f t="shared" si="8"/>
        <v>117.13199999999999</v>
      </c>
      <c r="F131" s="5">
        <f t="shared" si="6"/>
        <v>409.96199999999999</v>
      </c>
      <c r="G131" s="6">
        <v>195.22</v>
      </c>
      <c r="H131" s="5">
        <f t="shared" si="5"/>
        <v>77.277837000000005</v>
      </c>
      <c r="I131" s="5">
        <f t="shared" si="7"/>
        <v>270.47242950000003</v>
      </c>
      <c r="J131" s="8"/>
    </row>
    <row r="132" spans="1:10" x14ac:dyDescent="0.25">
      <c r="A132" s="3">
        <v>2945</v>
      </c>
      <c r="B132" s="4">
        <v>12</v>
      </c>
      <c r="C132" s="4" t="s">
        <v>42</v>
      </c>
      <c r="D132" s="4">
        <v>4</v>
      </c>
      <c r="E132" s="5">
        <f t="shared" si="8"/>
        <v>76.679999999999993</v>
      </c>
      <c r="F132" s="5">
        <f t="shared" si="6"/>
        <v>268.38</v>
      </c>
      <c r="G132" s="6">
        <v>127.8</v>
      </c>
      <c r="H132" s="5">
        <f t="shared" si="5"/>
        <v>50.58963</v>
      </c>
      <c r="I132" s="5">
        <f t="shared" si="7"/>
        <v>177.063705</v>
      </c>
      <c r="J132" s="8"/>
    </row>
    <row r="133" spans="1:10" x14ac:dyDescent="0.25">
      <c r="A133" s="3">
        <v>1046</v>
      </c>
      <c r="B133" s="4">
        <v>11</v>
      </c>
      <c r="C133" s="4" t="s">
        <v>43</v>
      </c>
      <c r="D133" s="4">
        <v>3</v>
      </c>
      <c r="E133" s="5">
        <f t="shared" si="8"/>
        <v>77.759999999999991</v>
      </c>
      <c r="F133" s="5">
        <f t="shared" si="6"/>
        <v>272.15999999999997</v>
      </c>
      <c r="G133" s="6">
        <v>129.6</v>
      </c>
      <c r="H133" s="5">
        <f t="shared" si="5"/>
        <v>51.302160000000001</v>
      </c>
      <c r="I133" s="5">
        <f t="shared" si="7"/>
        <v>179.55756</v>
      </c>
      <c r="J133" s="8"/>
    </row>
    <row r="134" spans="1:10" x14ac:dyDescent="0.25">
      <c r="A134" s="3">
        <v>1122</v>
      </c>
      <c r="B134" s="4">
        <v>28</v>
      </c>
      <c r="C134" s="4" t="s">
        <v>65</v>
      </c>
      <c r="D134" s="4">
        <v>10</v>
      </c>
      <c r="E134" s="5">
        <f t="shared" si="8"/>
        <v>224.73599999999999</v>
      </c>
      <c r="F134" s="5">
        <f t="shared" si="6"/>
        <v>786.57600000000002</v>
      </c>
      <c r="G134" s="6">
        <v>374.56</v>
      </c>
      <c r="H134" s="5">
        <f t="shared" si="5"/>
        <v>148.26957600000003</v>
      </c>
      <c r="I134" s="5">
        <f t="shared" si="7"/>
        <v>518.94351600000005</v>
      </c>
      <c r="J134" s="8"/>
    </row>
    <row r="135" spans="1:10" x14ac:dyDescent="0.25">
      <c r="A135" s="3">
        <v>1128</v>
      </c>
      <c r="B135" s="4" t="s">
        <v>50</v>
      </c>
      <c r="C135" s="4" t="s">
        <v>44</v>
      </c>
      <c r="D135" s="4">
        <v>1</v>
      </c>
      <c r="E135" s="5">
        <f t="shared" si="8"/>
        <v>168.83399999999997</v>
      </c>
      <c r="F135" s="5">
        <f t="shared" si="6"/>
        <v>590.91899999999987</v>
      </c>
      <c r="G135" s="6">
        <v>281.39</v>
      </c>
      <c r="H135" s="5">
        <f t="shared" si="5"/>
        <v>111.38823150000002</v>
      </c>
      <c r="I135" s="5">
        <f t="shared" si="7"/>
        <v>389.85881025000003</v>
      </c>
      <c r="J135" s="8"/>
    </row>
    <row r="136" spans="1:10" x14ac:dyDescent="0.25">
      <c r="A136" s="3">
        <v>2302</v>
      </c>
      <c r="B136" s="4" t="s">
        <v>51</v>
      </c>
      <c r="C136" s="4" t="s">
        <v>45</v>
      </c>
      <c r="D136" s="4">
        <v>1</v>
      </c>
      <c r="E136" s="5">
        <f t="shared" si="8"/>
        <v>195.072</v>
      </c>
      <c r="F136" s="5">
        <f t="shared" si="6"/>
        <v>682.75199999999995</v>
      </c>
      <c r="G136" s="6">
        <v>325.12</v>
      </c>
      <c r="H136" s="5">
        <f t="shared" si="5"/>
        <v>128.69875200000001</v>
      </c>
      <c r="I136" s="5">
        <f t="shared" si="7"/>
        <v>450.44563200000005</v>
      </c>
      <c r="J136" s="8"/>
    </row>
    <row r="137" spans="1:10" x14ac:dyDescent="0.25">
      <c r="A137" s="3">
        <v>1001</v>
      </c>
      <c r="B137" s="4" t="s">
        <v>52</v>
      </c>
      <c r="C137" s="4" t="s">
        <v>45</v>
      </c>
      <c r="D137" s="4">
        <v>1</v>
      </c>
      <c r="E137" s="5">
        <f t="shared" si="8"/>
        <v>153.15</v>
      </c>
      <c r="F137" s="5">
        <f t="shared" si="6"/>
        <v>536.02499999999998</v>
      </c>
      <c r="G137" s="6">
        <v>255.25</v>
      </c>
      <c r="H137" s="5">
        <f t="shared" si="5"/>
        <v>101.04071250000001</v>
      </c>
      <c r="I137" s="5">
        <f t="shared" si="7"/>
        <v>353.64249375000003</v>
      </c>
      <c r="J137" s="8"/>
    </row>
    <row r="138" spans="1:10" x14ac:dyDescent="0.25">
      <c r="A138" s="3">
        <v>2313</v>
      </c>
      <c r="B138" s="4" t="s">
        <v>51</v>
      </c>
      <c r="C138" s="4" t="s">
        <v>46</v>
      </c>
      <c r="D138" s="4">
        <v>1</v>
      </c>
      <c r="E138" s="5">
        <f t="shared" si="8"/>
        <v>195.072</v>
      </c>
      <c r="F138" s="5">
        <f t="shared" si="6"/>
        <v>682.75199999999995</v>
      </c>
      <c r="G138" s="6">
        <v>325.12</v>
      </c>
      <c r="H138" s="5">
        <f t="shared" si="5"/>
        <v>128.69875200000001</v>
      </c>
      <c r="I138" s="5">
        <f t="shared" si="7"/>
        <v>450.44563200000005</v>
      </c>
      <c r="J138" s="8"/>
    </row>
    <row r="139" spans="1:10" x14ac:dyDescent="0.25">
      <c r="A139" s="3">
        <v>1047</v>
      </c>
      <c r="B139" s="4" t="s">
        <v>52</v>
      </c>
      <c r="C139" s="4" t="s">
        <v>47</v>
      </c>
      <c r="D139" s="4">
        <v>1</v>
      </c>
      <c r="E139" s="5">
        <f t="shared" si="8"/>
        <v>153.15</v>
      </c>
      <c r="F139" s="5">
        <f t="shared" si="6"/>
        <v>536.02499999999998</v>
      </c>
      <c r="G139" s="6">
        <v>255.25</v>
      </c>
      <c r="H139" s="5">
        <f t="shared" si="5"/>
        <v>101.04071250000001</v>
      </c>
      <c r="I139" s="5">
        <f t="shared" si="7"/>
        <v>353.64249375000003</v>
      </c>
      <c r="J139" s="8"/>
    </row>
    <row r="140" spans="1:10" x14ac:dyDescent="0.25">
      <c r="A140" s="3">
        <v>5370</v>
      </c>
      <c r="B140" s="4">
        <v>28</v>
      </c>
      <c r="C140" s="4" t="s">
        <v>48</v>
      </c>
      <c r="D140" s="4">
        <v>3</v>
      </c>
      <c r="E140" s="5">
        <f t="shared" si="8"/>
        <v>237.47399999999999</v>
      </c>
      <c r="F140" s="5">
        <f t="shared" si="6"/>
        <v>831.15899999999999</v>
      </c>
      <c r="G140" s="6">
        <v>395.79</v>
      </c>
      <c r="H140" s="5">
        <f t="shared" si="5"/>
        <v>156.67347150000003</v>
      </c>
      <c r="I140" s="5">
        <f t="shared" si="7"/>
        <v>548.35715025000013</v>
      </c>
      <c r="J140" s="8"/>
    </row>
    <row r="141" spans="1:10" x14ac:dyDescent="0.25">
      <c r="A141" s="3">
        <v>5105</v>
      </c>
      <c r="B141" s="4">
        <v>20</v>
      </c>
      <c r="C141" s="4" t="s">
        <v>42</v>
      </c>
      <c r="D141" s="4">
        <v>1</v>
      </c>
      <c r="E141" s="5">
        <f t="shared" si="8"/>
        <v>278.71799999999996</v>
      </c>
      <c r="F141" s="5">
        <f t="shared" si="6"/>
        <v>975.51299999999992</v>
      </c>
      <c r="G141" s="6">
        <v>464.53</v>
      </c>
      <c r="H141" s="5">
        <f t="shared" ref="H141:H154" si="9">(G141*1.04/1.2*0.5*0.7*0.9)*1.45</f>
        <v>183.88420049999999</v>
      </c>
      <c r="I141" s="5">
        <f t="shared" si="7"/>
        <v>643.59470175000001</v>
      </c>
      <c r="J141" s="8"/>
    </row>
    <row r="142" spans="1:10" x14ac:dyDescent="0.25">
      <c r="A142" s="3">
        <v>5010</v>
      </c>
      <c r="B142" s="4">
        <v>30</v>
      </c>
      <c r="C142" s="4" t="s">
        <v>49</v>
      </c>
      <c r="D142" s="4">
        <v>10</v>
      </c>
      <c r="E142" s="5">
        <f t="shared" si="8"/>
        <v>244.88399999999999</v>
      </c>
      <c r="F142" s="5">
        <f t="shared" si="6"/>
        <v>857.09399999999994</v>
      </c>
      <c r="G142" s="6">
        <v>408.14</v>
      </c>
      <c r="H142" s="5">
        <f t="shared" si="9"/>
        <v>161.562219</v>
      </c>
      <c r="I142" s="5">
        <f t="shared" si="7"/>
        <v>565.46776650000004</v>
      </c>
      <c r="J142" s="8"/>
    </row>
    <row r="143" spans="1:10" x14ac:dyDescent="0.25">
      <c r="A143" s="3">
        <v>7032</v>
      </c>
      <c r="B143" s="4">
        <v>9</v>
      </c>
      <c r="C143" s="4" t="s">
        <v>53</v>
      </c>
      <c r="D143" s="4">
        <v>4</v>
      </c>
      <c r="E143" s="5">
        <f t="shared" si="8"/>
        <v>66.33</v>
      </c>
      <c r="F143" s="5">
        <f t="shared" si="6"/>
        <v>232.155</v>
      </c>
      <c r="G143" s="6">
        <v>110.55</v>
      </c>
      <c r="H143" s="5">
        <f t="shared" si="9"/>
        <v>43.761217499999994</v>
      </c>
      <c r="I143" s="5">
        <f t="shared" si="7"/>
        <v>153.16426124999998</v>
      </c>
      <c r="J143" s="8"/>
    </row>
    <row r="144" spans="1:10" x14ac:dyDescent="0.25">
      <c r="A144" s="3">
        <v>7043</v>
      </c>
      <c r="B144" s="4">
        <v>9</v>
      </c>
      <c r="C144" s="4" t="s">
        <v>53</v>
      </c>
      <c r="D144" s="4">
        <v>2</v>
      </c>
      <c r="E144" s="5">
        <f t="shared" si="8"/>
        <v>66.33</v>
      </c>
      <c r="F144" s="5">
        <f t="shared" si="6"/>
        <v>232.155</v>
      </c>
      <c r="G144" s="6">
        <v>110.55</v>
      </c>
      <c r="H144" s="5">
        <f t="shared" si="9"/>
        <v>43.761217499999994</v>
      </c>
      <c r="I144" s="5">
        <f t="shared" si="7"/>
        <v>153.16426124999998</v>
      </c>
      <c r="J144" s="8"/>
    </row>
    <row r="145" spans="1:10" x14ac:dyDescent="0.25">
      <c r="A145" s="3" t="s">
        <v>64</v>
      </c>
      <c r="B145" s="4">
        <v>15</v>
      </c>
      <c r="C145" s="4" t="s">
        <v>54</v>
      </c>
      <c r="D145" s="4">
        <v>1</v>
      </c>
      <c r="E145" s="5">
        <f t="shared" si="8"/>
        <v>51.713999999999999</v>
      </c>
      <c r="F145" s="5">
        <f t="shared" si="6"/>
        <v>180.999</v>
      </c>
      <c r="G145" s="6">
        <v>86.19</v>
      </c>
      <c r="H145" s="5">
        <f t="shared" si="9"/>
        <v>34.118311500000004</v>
      </c>
      <c r="I145" s="5">
        <f t="shared" si="7"/>
        <v>119.41409025000002</v>
      </c>
      <c r="J145" s="8"/>
    </row>
    <row r="146" spans="1:10" x14ac:dyDescent="0.25">
      <c r="A146" s="3">
        <v>10080</v>
      </c>
      <c r="B146" s="4">
        <v>10</v>
      </c>
      <c r="C146" s="4" t="s">
        <v>55</v>
      </c>
      <c r="D146" s="4">
        <v>4</v>
      </c>
      <c r="E146" s="5">
        <f t="shared" si="8"/>
        <v>85.373999999999995</v>
      </c>
      <c r="F146" s="5">
        <f t="shared" si="6"/>
        <v>298.80899999999997</v>
      </c>
      <c r="G146" s="6">
        <v>142.29</v>
      </c>
      <c r="H146" s="5">
        <f t="shared" si="9"/>
        <v>56.325496499999993</v>
      </c>
      <c r="I146" s="5">
        <f t="shared" si="7"/>
        <v>197.13923774999998</v>
      </c>
      <c r="J146" s="8"/>
    </row>
    <row r="147" spans="1:10" x14ac:dyDescent="0.25">
      <c r="A147" s="3">
        <v>10127</v>
      </c>
      <c r="B147" s="4">
        <v>22</v>
      </c>
      <c r="C147" s="4" t="s">
        <v>56</v>
      </c>
      <c r="D147" s="4">
        <v>1</v>
      </c>
      <c r="E147" s="5">
        <f t="shared" si="8"/>
        <v>84.39</v>
      </c>
      <c r="F147" s="5">
        <f t="shared" ref="F147:F154" si="10">E147*3.5</f>
        <v>295.36500000000001</v>
      </c>
      <c r="G147" s="6">
        <v>140.65</v>
      </c>
      <c r="H147" s="5">
        <f t="shared" si="9"/>
        <v>55.676302500000006</v>
      </c>
      <c r="I147" s="5">
        <f t="shared" ref="I147:I154" si="11">H147*3.5</f>
        <v>194.86705875000001</v>
      </c>
      <c r="J147" s="8"/>
    </row>
    <row r="148" spans="1:10" x14ac:dyDescent="0.25">
      <c r="A148" s="3">
        <v>10481</v>
      </c>
      <c r="B148" s="4">
        <v>20</v>
      </c>
      <c r="C148" s="4" t="s">
        <v>57</v>
      </c>
      <c r="D148" s="4">
        <v>1</v>
      </c>
      <c r="E148" s="5">
        <f t="shared" si="8"/>
        <v>214.26000000000002</v>
      </c>
      <c r="F148" s="5">
        <f t="shared" si="10"/>
        <v>749.91000000000008</v>
      </c>
      <c r="G148" s="6">
        <v>357.1</v>
      </c>
      <c r="H148" s="5">
        <f t="shared" si="9"/>
        <v>141.358035</v>
      </c>
      <c r="I148" s="5">
        <f t="shared" si="11"/>
        <v>494.75312250000002</v>
      </c>
      <c r="J148" s="8"/>
    </row>
    <row r="149" spans="1:10" x14ac:dyDescent="0.25">
      <c r="A149" s="3">
        <v>9401</v>
      </c>
      <c r="B149" s="4">
        <v>19</v>
      </c>
      <c r="C149" s="4" t="s">
        <v>58</v>
      </c>
      <c r="D149" s="4">
        <v>1</v>
      </c>
      <c r="E149" s="5">
        <f t="shared" si="8"/>
        <v>104.19</v>
      </c>
      <c r="F149" s="5">
        <f t="shared" si="10"/>
        <v>364.66499999999996</v>
      </c>
      <c r="G149" s="6">
        <v>173.65</v>
      </c>
      <c r="H149" s="5">
        <f t="shared" si="9"/>
        <v>68.739352499999995</v>
      </c>
      <c r="I149" s="5">
        <f t="shared" si="11"/>
        <v>240.58773374999998</v>
      </c>
      <c r="J149" s="8"/>
    </row>
    <row r="150" spans="1:10" x14ac:dyDescent="0.25">
      <c r="A150" s="3">
        <v>9424</v>
      </c>
      <c r="B150" s="4">
        <v>19</v>
      </c>
      <c r="C150" s="4" t="s">
        <v>59</v>
      </c>
      <c r="D150" s="4">
        <v>1</v>
      </c>
      <c r="E150" s="5">
        <f t="shared" si="8"/>
        <v>104.19</v>
      </c>
      <c r="F150" s="5">
        <f t="shared" si="10"/>
        <v>364.66499999999996</v>
      </c>
      <c r="G150" s="6">
        <v>173.65</v>
      </c>
      <c r="H150" s="5">
        <f t="shared" si="9"/>
        <v>68.739352499999995</v>
      </c>
      <c r="I150" s="5">
        <f t="shared" si="11"/>
        <v>240.58773374999998</v>
      </c>
      <c r="J150" s="8"/>
    </row>
    <row r="151" spans="1:10" x14ac:dyDescent="0.25">
      <c r="A151" s="3">
        <v>10149</v>
      </c>
      <c r="B151" s="4">
        <v>17</v>
      </c>
      <c r="C151" s="4" t="s">
        <v>60</v>
      </c>
      <c r="D151" s="4">
        <v>1</v>
      </c>
      <c r="E151" s="5">
        <f t="shared" si="8"/>
        <v>84.39</v>
      </c>
      <c r="F151" s="5">
        <f t="shared" si="10"/>
        <v>295.36500000000001</v>
      </c>
      <c r="G151" s="6">
        <v>140.65</v>
      </c>
      <c r="H151" s="5">
        <f t="shared" si="9"/>
        <v>55.676302500000006</v>
      </c>
      <c r="I151" s="5">
        <f t="shared" si="11"/>
        <v>194.86705875000001</v>
      </c>
      <c r="J151" s="8"/>
    </row>
    <row r="152" spans="1:10" x14ac:dyDescent="0.25">
      <c r="A152" s="3">
        <v>10029</v>
      </c>
      <c r="B152" s="4">
        <v>23</v>
      </c>
      <c r="C152" s="4" t="s">
        <v>61</v>
      </c>
      <c r="D152" s="4">
        <v>6</v>
      </c>
      <c r="E152" s="5">
        <f t="shared" si="8"/>
        <v>228.13800000000001</v>
      </c>
      <c r="F152" s="5">
        <f t="shared" si="10"/>
        <v>798.48300000000006</v>
      </c>
      <c r="G152" s="6">
        <v>380.23</v>
      </c>
      <c r="H152" s="5">
        <f t="shared" si="9"/>
        <v>150.51404550000001</v>
      </c>
      <c r="I152" s="5">
        <f t="shared" si="11"/>
        <v>526.79915925</v>
      </c>
      <c r="J152" s="8"/>
    </row>
    <row r="153" spans="1:10" x14ac:dyDescent="0.25">
      <c r="A153" s="3">
        <v>10827</v>
      </c>
      <c r="B153" s="4">
        <v>24</v>
      </c>
      <c r="C153" s="4" t="s">
        <v>62</v>
      </c>
      <c r="D153" s="4">
        <v>9</v>
      </c>
      <c r="E153" s="5">
        <f t="shared" si="8"/>
        <v>240.47399999999999</v>
      </c>
      <c r="F153" s="5">
        <f t="shared" si="10"/>
        <v>841.65899999999999</v>
      </c>
      <c r="G153" s="6">
        <v>400.79</v>
      </c>
      <c r="H153" s="5">
        <f t="shared" si="9"/>
        <v>158.65272150000001</v>
      </c>
      <c r="I153" s="5">
        <f t="shared" si="11"/>
        <v>555.28452525</v>
      </c>
      <c r="J153" s="8"/>
    </row>
    <row r="154" spans="1:10" x14ac:dyDescent="0.25">
      <c r="A154" s="3">
        <v>10829</v>
      </c>
      <c r="B154" s="4">
        <v>24</v>
      </c>
      <c r="C154" s="4" t="s">
        <v>63</v>
      </c>
      <c r="D154" s="4">
        <v>14</v>
      </c>
      <c r="E154" s="5">
        <f t="shared" si="8"/>
        <v>240.47399999999999</v>
      </c>
      <c r="F154" s="5">
        <f t="shared" si="10"/>
        <v>841.65899999999999</v>
      </c>
      <c r="G154" s="6">
        <v>400.79</v>
      </c>
      <c r="H154" s="5">
        <f t="shared" si="9"/>
        <v>158.65272150000001</v>
      </c>
      <c r="I154" s="5">
        <f t="shared" si="11"/>
        <v>555.28452525</v>
      </c>
      <c r="J154" s="8"/>
    </row>
  </sheetData>
  <autoFilter ref="A1:O154" xr:uid="{00000000-0001-0000-0000-000000000000}"/>
  <phoneticPr fontId="2" type="noConversion"/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Caggiati BY</dc:creator>
  <cp:lastModifiedBy>1</cp:lastModifiedBy>
  <cp:lastPrinted>2026-04-25T05:07:32Z</cp:lastPrinted>
  <dcterms:created xsi:type="dcterms:W3CDTF">2015-06-05T18:19:34Z</dcterms:created>
  <dcterms:modified xsi:type="dcterms:W3CDTF">2026-05-10T18:32:00Z</dcterms:modified>
</cp:coreProperties>
</file>